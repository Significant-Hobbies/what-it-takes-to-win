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6ce1b7d07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e1e83d3837b45dd"/>
    <x:sheet xmlns:r="http://schemas.openxmlformats.org/officeDocument/2006/relationships" name="Candidates" sheetId="2" r:id="Rb114ead14cda48a7"/>
    <x:sheet xmlns:r="http://schemas.openxmlformats.org/officeDocument/2006/relationships" name="Held back" sheetId="3" r:id="R77e8f22343874867"/>
    <x:sheet xmlns:r="http://schemas.openxmlformats.org/officeDocument/2006/relationships" name="Sources" sheetId="4" r:id="Recbbdb73fd6041da"/>
    <x:sheet xmlns:r="http://schemas.openxmlformats.org/officeDocument/2006/relationships" name="Rubric" sheetId="5" r:id="Rf136313bdc5c439b"/>
    <x:sheet xmlns:r="http://schemas.openxmlformats.org/officeDocument/2006/relationships" name="Interview" sheetId="6" r:id="Rd5749e0a43c3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6880"/>
      <x:name val="Carlito"/>
    </x:font>
    <x:font>
      <x:b/>
      <x:sz val="11"/>
      <x:color rgb="FF634315"/>
      <x:name val="Carlito"/>
    </x:font>
    <x:font>
      <x:b/>
      <x:sz val="11"/>
      <x:color rgb="FF1B6B7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8E9"/>
      </x:patternFill>
    </x:fill>
    <x:fill>
      <x:patternFill patternType="solid">
        <x:fgColor rgb="FFEEF4F7"/>
      </x:patternFill>
    </x:fill>
    <x:fill>
      <x:patternFill patternType="solid">
        <x:fgColor rgb="FFFFF1D6"/>
      </x:patternFill>
    </x:fill>
    <x:fill>
      <x:patternFill patternType="solid">
        <x:fgColor rgb="FFE5EFE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CEEEA"/>
        </x:patternFill>
      </x:fill>
    </x:dxf>
    <x:dxf>
      <x:fill>
        <x:patternFill patternType="solid">
          <x:bgColor rgb="FFFFE6CC"/>
        </x:patternFill>
      </x:fill>
    </x:dxf>
    <x:dxf>
      <x:fill>
        <x:patternFill patternType="solid">
          <x:bgColor rgb="FFDCEEEA"/>
        </x:patternFill>
      </x:fill>
    </x:dxf>
    <x:dxf>
      <x:fill>
        <x:patternFill patternType="solid">
          <x:bgColor rgb="FFFFE6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2ed9118514061" /><Relationship Type="http://schemas.openxmlformats.org/officeDocument/2006/relationships/theme" Target="/xl/theme/theme1.xml" Id="R8301968b9f98458d" /><Relationship Type="http://schemas.openxmlformats.org/officeDocument/2006/relationships/sharedStrings" Target="/xl/sharedStrings.xml" Id="R51d9344bad6b4307" /><Relationship Type="http://schemas.openxmlformats.org/officeDocument/2006/relationships/worksheet" Target="/xl/worksheets/sheet1.xml" Id="R0e1e83d3837b45dd" /><Relationship Type="http://schemas.openxmlformats.org/officeDocument/2006/relationships/worksheet" Target="/xl/worksheets/sheet2.xml" Id="Rb114ead14cda48a7" /><Relationship Type="http://schemas.openxmlformats.org/officeDocument/2006/relationships/worksheet" Target="/xl/worksheets/sheet3.xml" Id="R77e8f22343874867" /><Relationship Type="http://schemas.openxmlformats.org/officeDocument/2006/relationships/worksheet" Target="/xl/worksheets/sheet4.xml" Id="Recbbdb73fd6041da" /><Relationship Type="http://schemas.openxmlformats.org/officeDocument/2006/relationships/worksheet" Target="/xl/worksheets/sheet5.xml" Id="Rf136313bdc5c439b" /><Relationship Type="http://schemas.openxmlformats.org/officeDocument/2006/relationships/worksheet" Target="/xl/worksheets/sheet6.xml" Id="Rd5749e0a43c34125" /></Relationships>
</file>

<file path=xl/tables/table1.xml><?xml version="1.0" encoding="utf-8"?>
<x:table xmlns:x="http://schemas.openxmlformats.org/spreadsheetml/2006/main" id="1" name="CandidateRegister" displayName="CandidateRegister" ref="A1:M101" headerRowCount="1" totalsRowCount="0" totalsRowShown="0">
  <x:tableColumns count="13">
    <x:tableColumn id="1" name="ID"/>
    <x:tableColumn id="2" name="Person"/>
    <x:tableColumn id="3" name="Domain"/>
    <x:tableColumn id="4" name="Intake status"/>
    <x:tableColumn id="5" name="Located milestone age"/>
    <x:tableColumn id="6" name="Earliest located proof"/>
    <x:tableColumn id="7" name="Earlier background"/>
    <x:tableColumn id="8" name="Unresolved issue / audit"/>
    <x:tableColumn id="9" name="Research depth"/>
    <x:tableColumn id="10" name="Source 1"/>
    <x:tableColumn id="11" name="Source 2"/>
    <x:tableColumn id="12" name="Source 3"/>
    <x:tableColumn id="13" name="Public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ldRegister" displayName="HeldRegister" ref="A1:M37" headerRowCount="1" totalsRowCount="0" totalsRowShown="0">
  <x:tableColumns count="13">
    <x:tableColumn id="1" name="ID"/>
    <x:tableColumn id="2" name="Person"/>
    <x:tableColumn id="3" name="Domain"/>
    <x:tableColumn id="4" name="Intake status"/>
    <x:tableColumn id="5" name="Located milestone age"/>
    <x:tableColumn id="6" name="Earliest located proof"/>
    <x:tableColumn id="7" name="Earlier background"/>
    <x:tableColumn id="8" name="Unresolved issue / audit"/>
    <x:tableColumn id="9" name="Research depth"/>
    <x:tableColumn id="10" name="Source 1"/>
    <x:tableColumn id="11" name="Source 2"/>
    <x:tableColumn id="12" name="Source 3"/>
    <x:tableColumn id="13" name="Publica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Index" displayName="SourceIndex" ref="A1:D136" headerRowCount="1" totalsRowCount="0" totalsRowShown="0">
  <x:tableColumns count="4">
    <x:tableColumn id="1" name="Source ID"/>
    <x:tableColumn id="2" name="Domain"/>
    <x:tableColumn id="3" name="Source URL"/>
    <x:tableColumn id="4" name="Relevant people / stable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5567faee4449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b9cbcaffc445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be7af17f9b4146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27" hidden="0" customWidth="1"/>
    <x:col min="4" max="4" width="15" hidden="0" customWidth="1"/>
    <x:col min="5" max="5" width="27" hidden="0" customWidth="1"/>
    <x:col min="6" max="6" width="15" hidden="0" customWidth="1"/>
  </x:cols>
  <x:sheetData>
    <x:row r="1" ht="26" customHeight="1">
      <x:c r="A1" s="7" t="str">
        <x:v>PATHS  /  BEFORE THE FIRST PROOF</x:v>
      </x:c>
      <x:c r="B1" s="7"/>
      <x:c r="C1" s="7"/>
      <x:c r="D1" s="7"/>
      <x:c r="E1" s="7"/>
      <x:c r="F1" s="7"/>
    </x:row>
    <x:row r="2" ht="26" customHeight="1">
      <x:c r="A2" s="7"/>
      <x:c r="B2" s="7"/>
      <x:c r="C2" s="7"/>
      <x:c r="D2" s="7"/>
      <x:c r="E2" s="7"/>
      <x:c r="F2" s="7"/>
    </x:row>
    <x:row r="3" ht="26" customHeight="1">
      <x:c r="A3" s="18" t="str">
        <x:v>136-person discovery register · Research snapshot: 11 October 2026
Source-linked screening, not a verified cohort or an estimate of anyone’s odds.</x:v>
      </x:c>
      <x:c r="B3" s="18"/>
      <x:c r="C3" s="18"/>
      <x:c r="D3" s="18"/>
      <x:c r="E3" s="18"/>
      <x:c r="F3" s="18"/>
    </x:row>
    <x:row r="4" ht="26" customHeight="1">
      <x:c r="A4" s="18"/>
      <x:c r="B4" s="18"/>
      <x:c r="C4" s="18"/>
      <x:c r="D4" s="18"/>
      <x:c r="E4" s="18"/>
      <x:c r="F4" s="18"/>
    </x:row>
    <x:row r="5" ht="26" customHeight="1">
      <x:c r="A5" s="22" t="str">
        <x:v>IMPORTANT: There are 100 open candidates, not 100 confirmed matches. No record is cleared for a claim of first all-domain excellence after 25. Missing earlier history means unknown.</x:v>
      </x:c>
      <x:c r="B5" s="22"/>
      <x:c r="C5" s="22"/>
      <x:c r="D5" s="22"/>
      <x:c r="E5" s="22"/>
      <x:c r="F5" s="22"/>
    </x:row>
    <x:row r="6" ht="26" customHeight="1">
      <x:c r="A6" s="22"/>
      <x:c r="B6" s="22"/>
      <x:c r="C6" s="22"/>
      <x:c r="D6" s="22"/>
      <x:c r="E6" s="22"/>
      <x:c r="F6" s="22"/>
    </x:row>
    <x:row r="7" ht="26" customHeight="1">
      <x:c r="A7" s="3"/>
      <x:c r="B7" s="3"/>
      <x:c r="C7" s="3"/>
      <x:c r="D7" s="3"/>
      <x:c r="E7" s="3"/>
      <x:c r="F7" s="3"/>
    </x:row>
    <x:row r="8" ht="38" customHeight="1">
      <x:c r="A8" s="24" t="str">
        <x:v>People screened</x:v>
      </x:c>
      <x:c r="B8" s="26" t="n">
        <x:f>B10+D10</x:f>
        <x:v>136</x:v>
      </x:c>
      <x:c r="C8" s="24" t="str">
        <x:v>Distinct source URLs</x:v>
      </x:c>
      <x:c r="D8" s="26" t="n">
        <x:f>COUNTA(Sources!A2:A136)</x:f>
        <x:v>135</x:v>
      </x:c>
      <x:c r="E8" s="28" t="str">
        <x:v>CORE DEFINITION
First independently demonstrated standout performance at 26–39, with no earlier qualifying achievement found through a specified cross-domain review.
District-level excellence can count. Fame is unnecessary.</x:v>
      </x:c>
      <x:c r="F8" s="28"/>
    </x:row>
    <x:row r="9" ht="26" customHeight="1">
      <x:c r="A9" s="3"/>
      <x:c r="B9" s="3"/>
      <x:c r="C9" s="3"/>
      <x:c r="D9" s="3"/>
      <x:c r="E9" s="28"/>
      <x:c r="F9" s="28"/>
    </x:row>
    <x:row r="10" ht="38" customHeight="1">
      <x:c r="A10" s="24" t="str">
        <x:v>Open candidates</x:v>
      </x:c>
      <x:c r="B10" s="26" t="n">
        <x:f>COUNTA(Candidates!B2:B101)</x:f>
        <x:v>100</x:v>
      </x:c>
      <x:c r="C10" s="24" t="str">
        <x:v>Held-back cases</x:v>
      </x:c>
      <x:c r="D10" s="26" t="n">
        <x:f>COUNTA('Held back'!B2:B37)</x:f>
        <x:v>36</x:v>
      </x:c>
      <x:c r="E10" s="28"/>
      <x:c r="F10" s="28"/>
    </x:row>
    <x:row r="11" ht="26" customHeight="1">
      <x:c r="A11" s="3"/>
      <x:c r="B11" s="3"/>
      <x:c r="C11" s="3"/>
      <x:c r="D11" s="3"/>
      <x:c r="E11" s="28"/>
      <x:c r="F11" s="28"/>
    </x:row>
    <x:row r="12" ht="38" customHeight="1">
      <x:c r="A12" s="24" t="str">
        <x:v>Priority audit leads</x:v>
      </x:c>
      <x:c r="B12" s="26" t="n">
        <x:f>COUNTIF(Candidates!D2:D101,"A")</x:f>
        <x:v>5</x:v>
      </x:c>
      <x:c r="C12" s="24" t="str">
        <x:v>Open audit leads</x:v>
      </x:c>
      <x:c r="D12" s="26" t="n">
        <x:f>COUNTIF(Candidates!D2:D101,"B")</x:f>
        <x:v>95</x:v>
      </x:c>
      <x:c r="E12" s="28"/>
      <x:c r="F12" s="28"/>
    </x:row>
    <x:row r="13" ht="26" customHeight="1">
      <x:c r="A13" s="3"/>
      <x:c r="B13" s="3"/>
      <x:c r="C13" s="3"/>
      <x:c r="D13" s="3"/>
      <x:c r="E13" s="28"/>
      <x:c r="F13" s="28"/>
    </x:row>
    <x:row r="14" ht="38" customHeight="1">
      <x:c r="A14" s="24" t="str">
        <x:v>Publication-cleared</x:v>
      </x:c>
      <x:c r="B14" s="26" t="n">
        <x:f>COUNTIF(Candidates!M2:M101,"Cleared")</x:f>
        <x:v>0</x:v>
      </x:c>
      <x:c r="C14" s="24" t="str">
        <x:v>Record-only screens</x:v>
      </x:c>
      <x:c r="D14" s="26" t="n">
        <x:f>COUNTIF(Candidates!I2:I101,"Competition record: age, result and occupation; no full early-life review")+COUNTIF('Held back'!I2:I37,"Competition record: age, result and occupation; no full early-life review")</x:f>
        <x:v>49</x:v>
      </x:c>
      <x:c r="E14" s="28"/>
      <x:c r="F14" s="28"/>
    </x:row>
    <x:row r="15" ht="26" customHeight="1">
      <x:c r="A15" s="3"/>
      <x:c r="B15" s="3"/>
      <x:c r="C15" s="3"/>
      <x:c r="D15" s="3"/>
      <x:c r="E15" s="3"/>
      <x:c r="F15" s="3"/>
    </x:row>
    <x:row r="16" ht="26" customHeight="1">
      <x:c r="A16" s="7" t="str">
        <x:v>HOW TO READ THE REGISTER</x:v>
      </x:c>
      <x:c r="B16" s="7"/>
      <x:c r="C16" s="7"/>
      <x:c r="D16" s="7"/>
      <x:c r="E16" s="7"/>
      <x:c r="F16" s="7"/>
    </x:row>
    <x:row r="17" ht="26" customHeight="1">
      <x:c r="A17" s="18" t="str">
        <x:v>A — Priority audit lead: richer starting-history material makes further investigation useful. Not a verified match.
B — Open audit lead: an adult milestone is located, but earlier-history coverage is incomplete.</x:v>
      </x:c>
      <x:c r="B17" s="18"/>
      <x:c r="C17" s="18"/>
      <x:c r="D17" s="18"/>
      <x:c r="E17" s="18"/>
      <x:c r="F17" s="18"/>
    </x:row>
    <x:row r="18" ht="26" customHeight="1">
      <x:c r="A18" s="18"/>
      <x:c r="B18" s="18"/>
      <x:c r="C18" s="18"/>
      <x:c r="D18" s="18"/>
      <x:c r="E18" s="18"/>
      <x:c r="F18" s="18"/>
    </x:row>
    <x:row r="19" ht="26" customHeight="1">
      <x:c r="A19" s="18" t="str">
        <x:v>C — Held back: a specific conflict, earlier distinction, age boundary or insufficient milestone prevents core inclusion. A hold is not always a final exclusion.</x:v>
      </x:c>
      <x:c r="B19" s="18"/>
      <x:c r="C19" s="18"/>
      <x:c r="D19" s="18"/>
      <x:c r="E19" s="18"/>
      <x:c r="F19" s="18"/>
    </x:row>
    <x:row r="20" ht="26" customHeight="1">
      <x:c r="A20" s="18"/>
      <x:c r="B20" s="18"/>
      <x:c r="C20" s="18"/>
      <x:c r="D20" s="18"/>
      <x:c r="E20" s="18"/>
      <x:c r="F20" s="18"/>
    </x:row>
    <x:row r="21" ht="26" customHeight="1">
      <x:c r="A21" s="3"/>
      <x:c r="B21" s="3"/>
      <x:c r="C21" s="3"/>
      <x:c r="D21" s="3"/>
      <x:c r="E21" s="3"/>
      <x:c r="F21" s="3"/>
    </x:row>
    <x:row r="22" ht="26" customHeight="1">
      <x:c r="A22" s="18" t="str">
        <x:v>An earliest located milestone is not necessarily the first milestone in a life. Check earlier selection, contracts, competitions and skilled work. Preserve age ranges and do not equate casting, publication or job titles with proven excellence.</x:v>
      </x:c>
      <x:c r="B22" s="18"/>
      <x:c r="C22" s="18"/>
      <x:c r="D22" s="18"/>
      <x:c r="E22" s="18"/>
      <x:c r="F22" s="18"/>
    </x:row>
    <x:row r="23" ht="26" customHeight="1">
      <x:c r="A23" s="18"/>
      <x:c r="B23" s="18"/>
      <x:c r="C23" s="18"/>
      <x:c r="D23" s="18"/>
      <x:c r="E23" s="18"/>
      <x:c r="F23" s="18"/>
    </x:row>
    <x:row r="24" ht="26" customHeight="1">
      <x:c r="A24" s="3"/>
      <x:c r="B24" s="3"/>
      <x:c r="C24" s="3"/>
      <x:c r="D24" s="3"/>
      <x:c r="E24" s="3"/>
      <x:c r="F24" s="3"/>
    </x:row>
    <x:row r="25" ht="26" customHeight="1">
      <x:c r="A25" s="7" t="str">
        <x:v>WORKBOOK GUIDE</x:v>
      </x:c>
      <x:c r="B25" s="7"/>
      <x:c r="C25" s="7"/>
      <x:c r="D25" s="7"/>
      <x:c r="E25" s="7"/>
      <x:c r="F25" s="7"/>
    </x:row>
    <x:row r="26" ht="26" customHeight="1">
      <x:c r="A26" s="18" t="str">
        <x:v>Candidates: 100 open leads, with proof, background, audit questions and sources.
Held back: 36 cases retained to expose conflicts rather than erase them.</x:v>
      </x:c>
      <x:c r="B26" s="18"/>
      <x:c r="C26" s="18"/>
      <x:c r="D26" s="18"/>
      <x:c r="E26" s="18"/>
      <x:c r="F26" s="18"/>
    </x:row>
    <x:row r="27" ht="26" customHeight="1">
      <x:c r="A27" s="18"/>
      <x:c r="B27" s="18"/>
      <x:c r="C27" s="18"/>
      <x:c r="D27" s="18"/>
      <x:c r="E27" s="18"/>
      <x:c r="F27" s="18"/>
    </x:row>
    <x:row r="28" ht="26" customHeight="1">
      <x:c r="A28" s="18" t="str">
        <x:v>Sources: deduplicated URL index and linked people.
Rubric: inclusion rules and publication gates. Interview: a 15–20 minute verification protocol.</x:v>
      </x:c>
      <x:c r="B28" s="18"/>
      <x:c r="C28" s="18"/>
      <x:c r="D28" s="18"/>
      <x:c r="E28" s="18"/>
      <x:c r="F28" s="18"/>
    </x:row>
    <x:row r="29" ht="26" customHeight="1">
      <x:c r="A29" s="18"/>
      <x:c r="B29" s="18"/>
      <x:c r="C29" s="18"/>
      <x:c r="D29" s="18"/>
      <x:c r="E29" s="18"/>
      <x:c r="F29" s="18"/>
    </x:row>
    <x:row r="30" ht="26" customHeight="1">
      <x:c r="A30" s="3"/>
      <x:c r="B30" s="3"/>
      <x:c r="C30" s="3"/>
      <x:c r="D30" s="3"/>
      <x:c r="E30" s="3"/>
      <x:c r="F30" s="3"/>
    </x:row>
    <x:row r="31" ht="26" customHeight="1">
      <x:c r="A31" s="18" t="str">
        <x:v>SAMPLE BIAS: Cooking/baking and writing dominate this discovery pool. Local Indian achievement, engineering, trades and non-media careers are underrepresented. Do not infer population odds from these rows.</x:v>
      </x:c>
      <x:c r="B31" s="18"/>
      <x:c r="C31" s="18"/>
      <x:c r="D31" s="18"/>
      <x:c r="E31" s="18"/>
      <x:c r="F31" s="18"/>
    </x:row>
    <x:row r="32" ht="26" customHeight="1">
      <x:c r="A32" s="18"/>
      <x:c r="B32" s="18"/>
      <x:c r="C32" s="18"/>
      <x:c r="D32" s="18"/>
      <x:c r="E32" s="18"/>
      <x:c r="F32" s="18"/>
    </x:row>
    <x:row r="33" ht="26" customHeight="1">
      <x:c r="A33" s="3"/>
      <x:c r="B33" s="3"/>
      <x:c r="C33" s="3"/>
      <x:c r="D33" s="3"/>
      <x:c r="E33" s="3"/>
      <x:c r="F33" s="3"/>
    </x:row>
    <x:row r="34" ht="26" customHeight="1">
      <x:c r="A34" s="18" t="str">
        <x:v>NEXT EDITORIAL DECISION: Audit a small, diverse pilot; publish only cases that pass the stated review. Do not relax the definition to hit a quota.</x:v>
      </x:c>
      <x:c r="B34" s="18"/>
      <x:c r="C34" s="18"/>
      <x:c r="D34" s="18"/>
      <x:c r="E34" s="18"/>
      <x:c r="F34" s="18"/>
    </x:row>
    <x:row r="35" ht="26" customHeight="1">
      <x:c r="A35" s="18"/>
      <x:c r="B35" s="18"/>
      <x:c r="C35" s="18"/>
      <x:c r="D35" s="18"/>
      <x:c r="E35" s="18"/>
      <x:c r="F35" s="18"/>
    </x:row>
    <x:row r="36" ht="26" customHeight="1">
      <x:c r="A36" s="3"/>
      <x:c r="B36" s="3"/>
      <x:c r="C36" s="3"/>
      <x:c r="D36" s="3"/>
      <x:c r="E36" s="3"/>
      <x:c r="F36" s="3"/>
    </x:row>
    <x:row r="37" ht="26" customHeight="1">
      <x:c r="A37" s="18" t="str">
        <x:v>Companion document: Paths_Before_the_First_Proof_PRD.md
No interviews, outreach, website changes or scheduled work have been carried out.</x:v>
      </x:c>
      <x:c r="B37" s="18"/>
      <x:c r="C37" s="18"/>
      <x:c r="D37" s="18"/>
      <x:c r="E37" s="18"/>
      <x:c r="F37" s="18"/>
    </x:row>
    <x:row r="38" ht="26" customHeight="1">
      <x:c r="A38" s="18"/>
      <x:c r="B38" s="18"/>
      <x:c r="C38" s="18"/>
      <x:c r="D38" s="18"/>
      <x:c r="E38" s="18"/>
      <x:c r="F38" s="18"/>
    </x:row>
  </x:sheetData>
  <x:mergeCells>
    <x:mergeCell ref="A1:F2"/>
    <x:mergeCell ref="A3:F4"/>
    <x:mergeCell ref="A5:F6"/>
    <x:mergeCell ref="E8:F14"/>
    <x:mergeCell ref="A16:F16"/>
    <x:mergeCell ref="A17:F18"/>
    <x:mergeCell ref="A19:F20"/>
    <x:mergeCell ref="A22:F23"/>
    <x:mergeCell ref="A25:F25"/>
    <x:mergeCell ref="A26:F27"/>
    <x:mergeCell ref="A28:F29"/>
    <x:mergeCell ref="A31:F32"/>
    <x:mergeCell ref="A34:F35"/>
    <x:mergeCell ref="A37:F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20" hidden="0" customWidth="1"/>
    <x:col min="4" max="4" width="12" hidden="0" customWidth="1"/>
    <x:col min="5" max="5" width="20" hidden="0" customWidth="1"/>
    <x:col min="6" max="6" width="40" hidden="0" customWidth="1"/>
    <x:col min="7" max="7" width="38" hidden="0" customWidth="1"/>
    <x:col min="8" max="8" width="40" hidden="0" customWidth="1"/>
    <x:col min="9" max="9" width="30" hidden="0" customWidth="1"/>
    <x:col min="10" max="10" width="38" hidden="0" customWidth="1"/>
    <x:col min="11" max="11" width="38" hidden="0" customWidth="1"/>
    <x:col min="12" max="12" width="38" hidden="0" customWidth="1"/>
    <x:col min="13" max="13" width="30" hidden="0" customWidth="1"/>
  </x:cols>
  <x:sheetData>
    <x:row r="1" ht="34" customHeight="1">
      <x:c r="A1" s="8" t="str">
        <x:v>ID</x:v>
      </x:c>
      <x:c r="B1" s="8" t="str">
        <x:v>Person</x:v>
      </x:c>
      <x:c r="C1" s="8" t="str">
        <x:v>Domain</x:v>
      </x:c>
      <x:c r="D1" s="8" t="str">
        <x:v>Intake status</x:v>
      </x:c>
      <x:c r="E1" s="8" t="str">
        <x:v>Located milestone age</x:v>
      </x:c>
      <x:c r="F1" s="8" t="str">
        <x:v>Earliest located proof</x:v>
      </x:c>
      <x:c r="G1" s="8" t="str">
        <x:v>Earlier background</x:v>
      </x:c>
      <x:c r="H1" s="8" t="str">
        <x:v>Unresolved issue / audit</x:v>
      </x:c>
      <x:c r="I1" s="8" t="str">
        <x:v>Research depth</x:v>
      </x:c>
      <x:c r="J1" s="8" t="str">
        <x:v>Source 1</x:v>
      </x:c>
      <x:c r="K1" s="8" t="str">
        <x:v>Source 2</x:v>
      </x:c>
      <x:c r="L1" s="8" t="str">
        <x:v>Source 3</x:v>
      </x:c>
      <x:c r="M1" s="8" t="str">
        <x:v>Publication status</x:v>
      </x:c>
    </x:row>
    <x:row r="2" ht="118" customHeight="1">
      <x:c r="A2" s="3" t="str">
        <x:v>001</x:v>
      </x:c>
      <x:c r="B2" s="12" t="str">
        <x:v>Dominic O’Brien</x:v>
      </x:c>
      <x:c r="C2" s="3" t="str">
        <x:v>Memory sport</x:v>
      </x:c>
      <x:c r="D2" s="3" t="str">
        <x:v>A</x:v>
      </x:c>
      <x:c r="E2" s="3" t="str">
        <x:v>34</x:v>
      </x:c>
      <x:c r="F2" s="3" t="str">
        <x:v>Won the inaugural World Memory Championship in 1991; began deliberate memory training at 30.</x:v>
      </x:c>
      <x:c r="G2" s="3" t="str">
        <x:v>His own account describes school difficulties and leaving school at 16.</x:v>
      </x:c>
      <x:c r="H2" s="14" t="str">
        <x:v>Audit employment, sport and other achievements between 16 and 25; later memory success does not settle every earlier domain.</x:v>
      </x:c>
      <x:c r="I2" s="3" t="str">
        <x:v>First-person history + competition organisation</x:v>
      </x:c>
      <x:c r="J2" s="16" t="str">
        <x:v>https://www.edutopia.org/blog/win-the-memory-game-dominic-obrien</x:v>
      </x:c>
      <x:c r="K2" s="16" t="str">
        <x:v>https://www.worldmemorychampionships.com/dominic-obrien-wins-the-paneuropean-memory-championships/</x:v>
      </x:c>
      <x:c r="L2" s="16" t="str">
        <x:v>https://en.wikipedia.org/wiki/World_Memory_Champion</x:v>
      </x:c>
      <x:c r="M2" s="3" t="str">
        <x:v>Not cleared for first-excellence claim</x:v>
      </x:c>
    </x:row>
    <x:row r="3" ht="118" customHeight="1">
      <x:c r="A3" s="3" t="str">
        <x:v>004</x:v>
      </x:c>
      <x:c r="B3" s="12" t="str">
        <x:v>Nicky Spinks</x:v>
      </x:c>
      <x:c r="C3" s="3" t="str">
        <x:v>Fell running</x:v>
      </x:c>
      <x:c r="D3" s="3" t="str">
        <x:v>A</x:v>
      </x:c>
      <x:c r="E3" s="3" t="str">
        <x:v>38</x:v>
      </x:c>
      <x:c r="F3" s="3" t="str">
        <x:v>Completed the Bob Graham Round in 2005; first competitive fell race was in 2001, at 34.</x:v>
      </x:c>
      <x:c r="G3" s="3" t="str">
        <x:v>Farm upbringing and office work; resumed recreational running at 19, well before the later fell-running results.</x:v>
      </x:c>
      <x:c r="H3" s="14" t="str">
        <x:v>Audit running from 19 onward, horse riding, school/work and any 2001–2004 results. First ultra in 2005 is not necessarily first athletic distinction.</x:v>
      </x:c>
      <x:c r="I3" s="3" t="str">
        <x:v>Federation retrospective + biographical chronology</x:v>
      </x:c>
      <x:c r="J3" s="16" t="str">
        <x:v>https://www.englandathletics.org/news/nicky-spinks-reflects-on-her-inspirational-journey/</x:v>
      </x:c>
      <x:c r="K3" s="16" t="str">
        <x:v>https://en.wikipedia.org/wiki/Nicky_Spinks</x:v>
      </x:c>
      <x:c r="L3" s="16" t="str"/>
      <x:c r="M3" s="3" t="str">
        <x:v>Not cleared for first-excellence claim</x:v>
      </x:c>
    </x:row>
    <x:row r="4" ht="118" customHeight="1">
      <x:c r="A4" s="3" t="str">
        <x:v>014</x:v>
      </x:c>
      <x:c r="B4" s="12" t="str">
        <x:v>Debbie Macomber</x:v>
      </x:c>
      <x:c r="C4" s="3" t="str">
        <x:v>Fiction</x:v>
      </x:c>
      <x:c r="D4" s="3" t="str">
        <x:v>A</x:v>
      </x:c>
      <x:c r="E4" s="3" t="str">
        <x:v>34–35</x:v>
      </x:c>
      <x:c r="F4" s="3" t="str">
        <x:v>Starlight was published in 1983 after years of manuscript submissions.</x:v>
      </x:c>
      <x:c r="G4" s="3" t="str">
        <x:v>High-school education, homemaking and raising four children; accounts describe reading difficulties.</x:v>
      </x:c>
      <x:c r="H4" s="14" t="str">
        <x:v>First sale versus first publication chronology needs reconciliation. Cross-domain early history remains incomplete.</x:v>
      </x:c>
      <x:c r="I4" s="3" t="str">
        <x:v>Biographical history + reported interview</x:v>
      </x:c>
      <x:c r="J4" s="16" t="str">
        <x:v>https://en.wikipedia.org/wiki/Debbie_Macomber</x:v>
      </x:c>
      <x:c r="K4" s="16" t="str">
        <x:v>https://www.aarp.org/entertainment/books/debbie-macomber/</x:v>
      </x:c>
      <x:c r="L4" s="16" t="str"/>
      <x:c r="M4" s="3" t="str">
        <x:v>Not cleared for first-excellence claim</x:v>
      </x:c>
    </x:row>
    <x:row r="5" ht="118" customHeight="1">
      <x:c r="A5" s="3" t="str">
        <x:v>016</x:v>
      </x:c>
      <x:c r="B5" s="12" t="str">
        <x:v>Ann Cleeves</x:v>
      </x:c>
      <x:c r="C5" s="3" t="str">
        <x:v>Fiction</x:v>
      </x:c>
      <x:c r="D5" s="3" t="str">
        <x:v>A</x:v>
      </x:c>
      <x:c r="E5" s="3" t="str">
        <x:v>31–32</x:v>
      </x:c>
      <x:c r="F5" s="3" t="str">
        <x:v>A Bird in Hand, her first novel, was published in 1986.</x:v>
      </x:c>
      <x:c r="G5" s="3" t="str">
        <x:v>University dropout; worked as bird-observatory cook, probation officer, auxiliary coastguard and library worker.</x:v>
      </x:c>
      <x:c r="H5" s="14" t="str">
        <x:v>Look for earlier stories, prizes or occupational distinction; do not date first achievement to the later television adaptations.</x:v>
      </x:c>
      <x:c r="I5" s="3" t="str">
        <x:v>Author biography + publisher chronology</x:v>
      </x:c>
      <x:c r="J5" s="16" t="str">
        <x:v>https://anncleeves.com/bio.html</x:v>
      </x:c>
      <x:c r="K5" s="16" t="str">
        <x:v>https://www.deadgoodbooks.co.uk/ann-cleeves-career-highlights/</x:v>
      </x:c>
      <x:c r="L5" s="16" t="str"/>
      <x:c r="M5" s="3" t="str">
        <x:v>Not cleared for first-excellence claim</x:v>
      </x:c>
    </x:row>
    <x:row r="6" ht="118" customHeight="1">
      <x:c r="A6" s="3" t="str">
        <x:v>034</x:v>
      </x:c>
      <x:c r="B6" s="12" t="str">
        <x:v>Julie Goodwin</x:v>
      </x:c>
      <x:c r="C6" s="3" t="str">
        <x:v>Cooking</x:v>
      </x:c>
      <x:c r="D6" s="3" t="str">
        <x:v>A</x:v>
      </x:c>
      <x:c r="E6" s="3" t="str">
        <x:v>38</x:v>
      </x:c>
      <x:c r="F6" s="3" t="str">
        <x:v>Won MasterChef Australia in 2009, after selection from thousands of applicants.</x:v>
      </x:c>
      <x:c r="G6" s="3" t="str">
        <x:v>Assisted in the family IT business and raised three children.</x:v>
      </x:c>
      <x:c r="H6" s="14" t="str">
        <x:v>Earlier local cooking, business and music achievements require checking; domestic skill is not assumed to be absent.</x:v>
      </x:c>
      <x:c r="I6" s="3" t="str">
        <x:v>Contemporaneous reporting + interview</x:v>
      </x:c>
      <x:c r="J6" s="16" t="str">
        <x:v>https://www.abc.net.au/news/2009-07-20/masterchef-not-rigged-julie-says/1360566</x:v>
      </x:c>
      <x:c r="K6" s="16" t="str">
        <x:v>https://catholicleader.com.au/life/family/faith-is-the-key-ingredient-in-julies-life_54304/</x:v>
      </x:c>
      <x:c r="L6" s="16" t="str"/>
      <x:c r="M6" s="3" t="str">
        <x:v>Not cleared for first-excellence claim</x:v>
      </x:c>
    </x:row>
    <x:row r="7" ht="118" customHeight="1">
      <x:c r="A7" s="3" t="str">
        <x:v>002</x:v>
      </x:c>
      <x:c r="B7" s="12" t="str">
        <x:v>Steve Way</x:v>
      </x:c>
      <x:c r="C7" s="3" t="str">
        <x:v>Distance running</x:v>
      </x:c>
      <x:c r="D7" s="3" t="str">
        <x:v>B</x:v>
      </x:c>
      <x:c r="E7" s="3" t="str">
        <x:v>33</x:v>
      </x:c>
      <x:c r="F7" s="3" t="str">
        <x:v>Ran 2:35:12 and placed 100th at the 2008 London Marathon; earlier 2006 marathon was 3:07.</x:v>
      </x:c>
      <x:c r="G7" s="3" t="str">
        <x:v>IT employment; serious training began in 2007 after smoking and weight gain.</x:v>
      </x:c>
      <x:c r="H7" s="14" t="str">
        <x:v>Investigate whether his earlier IT career or other activities already demonstrated unusual performance; do not use 2014 Commonwealth selection as first proof.</x:v>
      </x:c>
      <x:c r="I7" s="3" t="str">
        <x:v>Biographical desk screen; incomplete pre-26 coverage</x:v>
      </x:c>
      <x:c r="J7" s="16" t="str">
        <x:v>https://en.wikipedia.org/wiki/Steve_Way_(runner)</x:v>
      </x:c>
      <x:c r="K7" s="16" t="str">
        <x:v>https://runningmagazine.ca/uncategorized/40-year-old-overweight-smoker-represent-england-commonwealth-marathon/</x:v>
      </x:c>
      <x:c r="L7" s="16" t="str"/>
      <x:c r="M7" s="3" t="str">
        <x:v>Not cleared for first-excellence claim</x:v>
      </x:c>
    </x:row>
    <x:row r="8" ht="118" customHeight="1">
      <x:c r="A8" s="3" t="str">
        <x:v>003</x:v>
      </x:c>
      <x:c r="B8" s="12" t="str">
        <x:v>Priscilla Welch</x:v>
      </x:c>
      <x:c r="C8" s="3" t="str">
        <x:v>Distance running</x:v>
      </x:c>
      <x:c r="D8" s="3" t="str">
        <x:v>B</x:v>
      </x:c>
      <x:c r="E8" s="3" t="str">
        <x:v>36</x:v>
      </x:c>
      <x:c r="F8" s="3" t="str">
        <x:v>Won the 1981 Glasgow Marathon in 2:55:15 after beginning competitive running at 35.</x:v>
      </x:c>
      <x:c r="G8" s="3" t="str">
        <x:v>Served in the British Army; accounts describe smoking and a late start to competitive running.</x:v>
      </x:c>
      <x:c r="H8" s="14" t="str">
        <x:v>Army rank and prior performance require audit; being an officer or smoker does not prove absence of earlier excellence.</x:v>
      </x:c>
      <x:c r="I8" s="3" t="str">
        <x:v>Biographical desk screen; incomplete pre-26 coverage</x:v>
      </x:c>
      <x:c r="J8" s="16" t="str">
        <x:v>https://en.wikipedia.org/wiki/Priscilla_Welch</x:v>
      </x:c>
      <x:c r="K8" s="16" t="str"/>
      <x:c r="L8" s="16" t="str"/>
      <x:c r="M8" s="3" t="str">
        <x:v>Not cleared for first-excellence claim</x:v>
      </x:c>
    </x:row>
    <x:row r="9" ht="118" customHeight="1">
      <x:c r="A9" s="3" t="str">
        <x:v>006</x:v>
      </x:c>
      <x:c r="B9" s="12" t="str">
        <x:v>Rose Harvey</x:v>
      </x:c>
      <x:c r="C9" s="3" t="str">
        <x:v>Distance running</x:v>
      </x:c>
      <x:c r="D9" s="3" t="str">
        <x:v>B</x:v>
      </x:c>
      <x:c r="E9" s="3" t="str">
        <x:v>About 29</x:v>
      </x:c>
      <x:c r="F9" s="3" t="str">
        <x:v>Strong 2021 marathon performances preceded her 2022 British title.</x:v>
      </x:c>
      <x:c r="G9" s="3" t="str">
        <x:v>Corporate lawyer who increased training after redundancy in 2020; earlier social club running.</x:v>
      </x:c>
      <x:c r="H9" s="14" t="str">
        <x:v>Retrieve first regional-level result and audit legal/academic distinctions rather than calling the Olympic debut her first achievement.</x:v>
      </x:c>
      <x:c r="I9" s="3" t="str">
        <x:v>Biographical desk screen; incomplete pre-26 coverage</x:v>
      </x:c>
      <x:c r="J9" s="16" t="str">
        <x:v>https://roseharvey.co.uk/</x:v>
      </x:c>
      <x:c r="K9" s="16" t="str">
        <x:v>https://www.teamgb.com/athlete/rose-harvey/1Zm0HLMeEiObiom7wB6f3i</x:v>
      </x:c>
      <x:c r="L9" s="16" t="str"/>
      <x:c r="M9" s="3" t="str">
        <x:v>Not cleared for first-excellence claim</x:v>
      </x:c>
    </x:row>
    <x:row r="10" ht="118" customHeight="1">
      <x:c r="A10" s="3" t="str">
        <x:v>009</x:v>
      </x:c>
      <x:c r="B10" s="12" t="str">
        <x:v>Kathryn Drew</x:v>
      </x:c>
      <x:c r="C10" s="3" t="str">
        <x:v>Trail running</x:v>
      </x:c>
      <x:c r="D10" s="3" t="str">
        <x:v>B</x:v>
      </x:c>
      <x:c r="E10" s="3" t="str">
        <x:v>About 30</x:v>
      </x:c>
      <x:c r="F10" s="3" t="str">
        <x:v>Represented Canada in trail running in 2017; earlier Chuckanut results show progression from 2014.</x:v>
      </x:c>
      <x:c r="G10" s="3" t="str">
        <x:v>Event manager; coach describes several years of gradual competitive improvement.</x:v>
      </x:c>
      <x:c r="H10" s="14" t="str">
        <x:v>Confirm birth date and pre-25 sporting/academic history; 2014 results may already constitute first meaningful proof.</x:v>
      </x:c>
      <x:c r="I10" s="3" t="str">
        <x:v>Biographical desk screen; incomplete pre-26 coverage</x:v>
      </x:c>
      <x:c r="J10" s="16" t="str">
        <x:v>https://www.trailrunnermag.com/training/trail-tips-training/kathryn-drew-and-the-power-of-consistency/</x:v>
      </x:c>
      <x:c r="K10" s="16" t="str"/>
      <x:c r="L10" s="16" t="str"/>
      <x:c r="M10" s="3" t="str">
        <x:v>Not cleared for first-excellence claim</x:v>
      </x:c>
    </x:row>
    <x:row r="11" ht="118" customHeight="1">
      <x:c r="A11" s="3" t="str">
        <x:v>013</x:v>
      </x:c>
      <x:c r="B11" s="12" t="str">
        <x:v>Nora Roberts</x:v>
      </x:c>
      <x:c r="C11" s="3" t="str">
        <x:v>Fiction</x:v>
      </x:c>
      <x:c r="D11" s="3" t="str">
        <x:v>B</x:v>
      </x:c>
      <x:c r="E11" s="3" t="str">
        <x:v>30–31</x:v>
      </x:c>
      <x:c r="F11" s="3" t="str">
        <x:v>First published novel, Irish Thoroughbred, appeared in 1981; began writing in 1979.</x:v>
      </x:c>
      <x:c r="G11" s="3" t="str">
        <x:v>Homemaker and mother; publishing followed an adult start.</x:v>
      </x:c>
      <x:c r="H11" s="14" t="str">
        <x:v>Audit school/other creative achievements and date of first acceptance, which may precede publication.</x:v>
      </x:c>
      <x:c r="I11" s="3" t="str">
        <x:v>Biographical desk screen; incomplete pre-26 coverage</x:v>
      </x:c>
      <x:c r="J11" s="16" t="str">
        <x:v>https://en.wikipedia.org/wiki/Nora_Roberts</x:v>
      </x:c>
      <x:c r="K11" s="16" t="str">
        <x:v>https://freshfiction.com/author.php?id=4687</x:v>
      </x:c>
      <x:c r="L11" s="16" t="str"/>
      <x:c r="M11" s="3" t="str">
        <x:v>Not cleared for first-excellence claim</x:v>
      </x:c>
    </x:row>
    <x:row r="12" ht="118" customHeight="1">
      <x:c r="A12" s="3" t="str">
        <x:v>017</x:v>
      </x:c>
      <x:c r="B12" s="12" t="str">
        <x:v>Brent Weeks</x:v>
      </x:c>
      <x:c r="C12" s="3" t="str">
        <x:v>Fiction</x:v>
      </x:c>
      <x:c r="D12" s="3" t="str">
        <x:v>B</x:v>
      </x:c>
      <x:c r="E12" s="3" t="str">
        <x:v>31</x:v>
      </x:c>
      <x:c r="F12" s="3" t="str">
        <x:v>Night Angel novels were published in 2008.</x:v>
      </x:c>
      <x:c r="G12" s="3" t="str">
        <x:v>English graduate; worked as a teacher and bartender.</x:v>
      </x:c>
      <x:c r="H12" s="14" t="str">
        <x:v>Establish first contract date and check earlier publication, academic honours or competitive achievements.</x:v>
      </x:c>
      <x:c r="I12" s="3" t="str">
        <x:v>Biographical desk screen; incomplete pre-26 coverage</x:v>
      </x:c>
      <x:c r="J12" s="16" t="str">
        <x:v>https://www.brentweeks.com/faq/</x:v>
      </x:c>
      <x:c r="K12" s="16" t="str">
        <x:v>https://en.wikipedia.org/wiki/Brent_Weeks</x:v>
      </x:c>
      <x:c r="L12" s="16" t="str"/>
      <x:c r="M12" s="3" t="str">
        <x:v>Not cleared for first-excellence claim</x:v>
      </x:c>
    </x:row>
    <x:row r="13" ht="118" customHeight="1">
      <x:c r="A13" s="3" t="str">
        <x:v>019</x:v>
      </x:c>
      <x:c r="B13" s="12" t="str">
        <x:v>Patrick Rothfuss</x:v>
      </x:c>
      <x:c r="C13" s="3" t="str">
        <x:v>Fiction</x:v>
      </x:c>
      <x:c r="D13" s="3" t="str">
        <x:v>B</x:v>
      </x:c>
      <x:c r="E13" s="3" t="str">
        <x:v>29</x:v>
      </x:c>
      <x:c r="F13" s="3" t="str">
        <x:v>Won a Writers of the Future contest in 2002, before the 2007 debut novel.</x:v>
      </x:c>
      <x:c r="G13" s="3" t="str">
        <x:v>Spent years in undergraduate education before completing a degree in 1999.</x:v>
      </x:c>
      <x:c r="H13" s="14" t="str">
        <x:v>Check earlier school/college writing awards and university roles. The novel’s later fame is not the milestone.</x:v>
      </x:c>
      <x:c r="I13" s="3" t="str">
        <x:v>Biographical desk screen; incomplete pre-26 coverage</x:v>
      </x:c>
      <x:c r="J13" s="16" t="str">
        <x:v>https://en.wikipedia.org/wiki/Patrick_Rothfuss</x:v>
      </x:c>
      <x:c r="K13" s="16" t="str">
        <x:v>https://mediamilwaukee.com/culture/patrick-rothfuss-king-chronicles/</x:v>
      </x:c>
      <x:c r="L13" s="16" t="str"/>
      <x:c r="M13" s="3" t="str">
        <x:v>Not cleared for first-excellence claim</x:v>
      </x:c>
    </x:row>
    <x:row r="14" ht="118" customHeight="1">
      <x:c r="A14" s="3" t="str">
        <x:v>021</x:v>
      </x:c>
      <x:c r="B14" s="12" t="str">
        <x:v>Divya Prakash Dubey</x:v>
      </x:c>
      <x:c r="C14" s="3" t="str">
        <x:v>Fiction</x:v>
      </x:c>
      <x:c r="D14" s="3" t="str">
        <x:v>B</x:v>
      </x:c>
      <x:c r="E14" s="3" t="str">
        <x:v>30–31</x:v>
      </x:c>
      <x:c r="F14" s="3" t="str">
        <x:v>Terms and Conditions Apply was published in 2013.</x:v>
      </x:c>
      <x:c r="G14" s="3" t="str">
        <x:v>Engineering and management education; corporate employment preceded Hindi fiction.</x:v>
      </x:c>
      <x:c r="H14" s="14" t="str">
        <x:v>Check earlier writing circulation, campus prizes and professional distinctions; degrees alone are not treated as exceptional.</x:v>
      </x:c>
      <x:c r="I14" s="3" t="str">
        <x:v>Biographical desk screen; incomplete pre-26 coverage</x:v>
      </x:c>
      <x:c r="J14" s="16" t="str">
        <x:v>https://divyaprakash.in/about-me/</x:v>
      </x:c>
      <x:c r="K14" s="16" t="str">
        <x:v>https://en.wikipedia.org/wiki/Divya_Prakash_Dubey</x:v>
      </x:c>
      <x:c r="L14" s="16" t="str"/>
      <x:c r="M14" s="3" t="str">
        <x:v>Not cleared for first-excellence claim</x:v>
      </x:c>
    </x:row>
    <x:row r="15" ht="118" customHeight="1">
      <x:c r="A15" s="3" t="str">
        <x:v>023</x:v>
      </x:c>
      <x:c r="B15" s="12" t="str">
        <x:v>Miyuki Miyabe</x:v>
      </x:c>
      <x:c r="C15" s="3" t="str">
        <x:v>Fiction</x:v>
      </x:c>
      <x:c r="D15" s="3" t="str">
        <x:v>B</x:v>
      </x:c>
      <x:c r="E15" s="3" t="str">
        <x:v>26</x:v>
      </x:c>
      <x:c r="F15" s="3" t="str">
        <x:v>Won the All Yomimono Mystery Prize for New Writers in 1987.</x:v>
      </x:c>
      <x:c r="G15" s="3" t="str">
        <x:v>Business-school training and administrative work in a law office; began writing and workshops in her twenties.</x:v>
      </x:c>
      <x:c r="H15" s="14" t="str">
        <x:v>Audit school and other domains, plus any earlier competition results; workshop attendance alone is not distinction.</x:v>
      </x:c>
      <x:c r="I15" s="3" t="str">
        <x:v>Biographical desk screen; incomplete pre-26 coverage</x:v>
      </x:c>
      <x:c r="J15" s="16" t="str">
        <x:v>https://en.wikipedia.org/wiki/Miyuki_Miyabe</x:v>
      </x:c>
      <x:c r="K15" s="16" t="str"/>
      <x:c r="L15" s="16" t="str"/>
      <x:c r="M15" s="3" t="str">
        <x:v>Not cleared for first-excellence claim</x:v>
      </x:c>
    </x:row>
    <x:row r="16" ht="118" customHeight="1">
      <x:c r="A16" s="3" t="str">
        <x:v>028</x:v>
      </x:c>
      <x:c r="B16" s="12" t="str">
        <x:v>Shelina Permalloo</x:v>
      </x:c>
      <x:c r="C16" s="3" t="str">
        <x:v>Cooking</x:v>
      </x:c>
      <x:c r="D16" s="3" t="str">
        <x:v>B</x:v>
      </x:c>
      <x:c r="E16" s="3" t="str">
        <x:v>29</x:v>
      </x:c>
      <x:c r="F16" s="3" t="str">
        <x:v>Won MasterChef UK in 2012.</x:v>
      </x:c>
      <x:c r="G16" s="3" t="str">
        <x:v>Psychology graduate; worked in project management before the competition.</x:v>
      </x:c>
      <x:c r="H16" s="14" t="str">
        <x:v>Audit earlier cooking contests, university honours and professional accomplishments; entertaining friends is not itself prior distinction.</x:v>
      </x:c>
      <x:c r="I16" s="3" t="str">
        <x:v>Biographical desk screen; incomplete pre-26 coverage</x:v>
      </x:c>
      <x:c r="J16" s="16" t="str">
        <x:v>https://www.brunel.ac.uk/news-and-events/news/articles/MasterChef-winner-remembers-student-days-at-Brunel</x:v>
      </x:c>
      <x:c r="K16" s="16" t="str">
        <x:v>https://en.wikipedia.org/wiki/Shelina_Permalloo</x:v>
      </x:c>
      <x:c r="L16" s="16" t="str"/>
      <x:c r="M16" s="3" t="str">
        <x:v>Not cleared for first-excellence claim</x:v>
      </x:c>
    </x:row>
    <x:row r="17" ht="118" customHeight="1">
      <x:c r="A17" s="3" t="str">
        <x:v>029</x:v>
      </x:c>
      <x:c r="B17" s="12" t="str">
        <x:v>Tim Anderson</x:v>
      </x:c>
      <x:c r="C17" s="3" t="str">
        <x:v>Cooking</x:v>
      </x:c>
      <x:c r="D17" s="3" t="str">
        <x:v>B</x:v>
      </x:c>
      <x:c r="E17" s="3" t="str">
        <x:v>26</x:v>
      </x:c>
      <x:c r="F17" s="3" t="str">
        <x:v>Won MasterChef UK in 2011.</x:v>
      </x:c>
      <x:c r="G17" s="3" t="str">
        <x:v>Studied Japanese food history, lived in Japan and worked as a bar manager.</x:v>
      </x:c>
      <x:c r="H17" s="14" t="str">
        <x:v>Check whether earlier food-related study, writing or employment already yielded recognised distinction.</x:v>
      </x:c>
      <x:c r="I17" s="3" t="str">
        <x:v>Biographical desk screen; incomplete pre-26 coverage</x:v>
      </x:c>
      <x:c r="J17" s="16" t="str">
        <x:v>https://www.uk.emb-japan.go.jp/en/event/webmagazine/jul11/tim_anderson.html</x:v>
      </x:c>
      <x:c r="K17" s="16" t="str">
        <x:v>https://en.wikipedia.org/wiki/Tim_Anderson_(chef)</x:v>
      </x:c>
      <x:c r="L17" s="16" t="str"/>
      <x:c r="M17" s="3" t="str">
        <x:v>Not cleared for first-excellence claim</x:v>
      </x:c>
    </x:row>
    <x:row r="18" ht="118" customHeight="1">
      <x:c r="A18" s="3" t="str">
        <x:v>031</x:v>
      </x:c>
      <x:c r="B18" s="12" t="str">
        <x:v>Simon Wood</x:v>
      </x:c>
      <x:c r="C18" s="3" t="str">
        <x:v>Cooking</x:v>
      </x:c>
      <x:c r="D18" s="3" t="str">
        <x:v>B</x:v>
      </x:c>
      <x:c r="E18" s="3" t="str">
        <x:v>38</x:v>
      </x:c>
      <x:c r="F18" s="3" t="str">
        <x:v>Won MasterChef UK in 2015.</x:v>
      </x:c>
      <x:c r="G18" s="3" t="str">
        <x:v>Worked in data management before moving into professional cooking.</x:v>
      </x:c>
      <x:c r="H18" s="14" t="str">
        <x:v>Audit the scale and quality of earlier data work and any earlier cooking competitions. Job title does not establish or negate excellence.</x:v>
      </x:c>
      <x:c r="I18" s="3" t="str">
        <x:v>Biographical desk screen; incomplete pre-26 coverage</x:v>
      </x:c>
      <x:c r="J18" s="16" t="str">
        <x:v>https://en.wikipedia.org/wiki/Simon_Wood_(chef)</x:v>
      </x:c>
      <x:c r="K18" s="16" t="str"/>
      <x:c r="L18" s="16" t="str"/>
      <x:c r="M18" s="3" t="str">
        <x:v>Not cleared for first-excellence claim</x:v>
      </x:c>
    </x:row>
    <x:row r="19" ht="118" customHeight="1">
      <x:c r="A19" s="3" t="str">
        <x:v>032</x:v>
      </x:c>
      <x:c r="B19" s="12" t="str">
        <x:v>Kenny Tutt</x:v>
      </x:c>
      <x:c r="C19" s="3" t="str">
        <x:v>Cooking</x:v>
      </x:c>
      <x:c r="D19" s="3" t="str">
        <x:v>B</x:v>
      </x:c>
      <x:c r="E19" s="3" t="str">
        <x:v>36</x:v>
      </x:c>
      <x:c r="F19" s="3" t="str">
        <x:v>Won MasterChef UK in 2018.</x:v>
      </x:c>
      <x:c r="G19" s="3" t="str">
        <x:v>Bank manager before the competition.</x:v>
      </x:c>
      <x:c r="H19" s="14" t="str">
        <x:v>Banking promotions and earlier culinary competitions remain unexamined; championship is proof of cooking, not a complete life audit.</x:v>
      </x:c>
      <x:c r="I19" s="3" t="str">
        <x:v>Biographical desk screen; incomplete pre-26 coverage</x:v>
      </x:c>
      <x:c r="J19" s="16" t="str">
        <x:v>https://www.kennytutt.co.uk/</x:v>
      </x:c>
      <x:c r="K19" s="16" t="str">
        <x:v>https://www.mirror.co.uk/tv/who-won-masterchef-2018-bank-12359726</x:v>
      </x:c>
      <x:c r="L19" s="16" t="str"/>
      <x:c r="M19" s="3" t="str">
        <x:v>Not cleared for first-excellence claim</x:v>
      </x:c>
    </x:row>
    <x:row r="20" ht="118" customHeight="1">
      <x:c r="A20" s="3" t="str">
        <x:v>033</x:v>
      </x:c>
      <x:c r="B20" s="12" t="str">
        <x:v>Thomas Frake</x:v>
      </x:c>
      <x:c r="C20" s="3" t="str">
        <x:v>Cooking</x:v>
      </x:c>
      <x:c r="D20" s="3" t="str">
        <x:v>B</x:v>
      </x:c>
      <x:c r="E20" s="3" t="str">
        <x:v>32</x:v>
      </x:c>
      <x:c r="F20" s="3" t="str">
        <x:v>Won MasterChef UK in 2020.</x:v>
      </x:c>
      <x:c r="G20" s="3" t="str">
        <x:v>Broadcast-production graduate who later worked in banking.</x:v>
      </x:c>
      <x:c r="H20" s="14" t="str">
        <x:v>Audit earlier broadcasting output, academic performance and cooking contests.</x:v>
      </x:c>
      <x:c r="I20" s="3" t="str">
        <x:v>Biographical desk screen; incomplete pre-26 coverage</x:v>
      </x:c>
      <x:c r="J20" s="16" t="str">
        <x:v>https://en.wikipedia.org/wiki/Thomas_Frake</x:v>
      </x:c>
      <x:c r="K20" s="16" t="str"/>
      <x:c r="L20" s="16" t="str"/>
      <x:c r="M20" s="3" t="str">
        <x:v>Not cleared for first-excellence claim</x:v>
      </x:c>
    </x:row>
    <x:row r="21" ht="118" customHeight="1">
      <x:c r="A21" s="3" t="str">
        <x:v>035</x:v>
      </x:c>
      <x:c r="B21" s="12" t="str">
        <x:v>Ping Coombes</x:v>
      </x:c>
      <x:c r="C21" s="3" t="str">
        <x:v>Cooking</x:v>
      </x:c>
      <x:c r="D21" s="3" t="str">
        <x:v>B</x:v>
      </x:c>
      <x:c r="E21" s="3" t="str">
        <x:v>33</x:v>
      </x:c>
      <x:c r="F21" s="3" t="str">
        <x:v>Won MasterChef UK in 2014.</x:v>
      </x:c>
      <x:c r="G21" s="3" t="str">
        <x:v>Assistant hotel manager at a private hospital; entered following redundancy.</x:v>
      </x:c>
      <x:c r="H21" s="14" t="str">
        <x:v>Identify the institution described as study in Oxford: city is not equivalent to Oxford University. Audit earlier accomplishments.</x:v>
      </x:c>
      <x:c r="I21" s="3" t="str">
        <x:v>Biographical desk screen; incomplete pre-26 coverage</x:v>
      </x:c>
      <x:c r="J21" s="16" t="str">
        <x:v>https://en.wikipedia.org/wiki/Ping_Coombes</x:v>
      </x:c>
      <x:c r="K21" s="16" t="str"/>
      <x:c r="L21" s="16" t="str"/>
      <x:c r="M21" s="3" t="str">
        <x:v>Not cleared for first-excellence claim</x:v>
      </x:c>
    </x:row>
    <x:row r="22" ht="118" customHeight="1">
      <x:c r="A22" s="3" t="str">
        <x:v>037</x:v>
      </x:c>
      <x:c r="B22" s="12" t="str">
        <x:v>Diana Chan</x:v>
      </x:c>
      <x:c r="C22" s="3" t="str">
        <x:v>Cooking</x:v>
      </x:c>
      <x:c r="D22" s="3" t="str">
        <x:v>B</x:v>
      </x:c>
      <x:c r="E22" s="3" t="str">
        <x:v>About 29</x:v>
      </x:c>
      <x:c r="F22" s="3" t="str">
        <x:v>Won MasterChef Australia in 2017.</x:v>
      </x:c>
      <x:c r="G22" s="3" t="str">
        <x:v>Commerce graduate, chartered accountant and Deloitte senior analyst.</x:v>
      </x:c>
      <x:c r="H22" s="14" t="str">
        <x:v>Professional/academic distinction before 25 is unresolved; distinguish competitive excellence from the ordinary qualification route.</x:v>
      </x:c>
      <x:c r="I22" s="3" t="str">
        <x:v>Biographical desk screen; incomplete pre-26 coverage</x:v>
      </x:c>
      <x:c r="J22" s="16" t="str">
        <x:v>https://en.wikipedia.org/wiki/Diana_Chan</x:v>
      </x:c>
      <x:c r="K22" s="16" t="str"/>
      <x:c r="L22" s="16" t="str"/>
      <x:c r="M22" s="3" t="str">
        <x:v>Not cleared for first-excellence claim</x:v>
      </x:c>
    </x:row>
    <x:row r="23" ht="118" customHeight="1">
      <x:c r="A23" s="3" t="str">
        <x:v>039</x:v>
      </x:c>
      <x:c r="B23" s="12" t="str">
        <x:v>Brent Draper</x:v>
      </x:c>
      <x:c r="C23" s="3" t="str">
        <x:v>Cooking</x:v>
      </x:c>
      <x:c r="D23" s="3" t="str">
        <x:v>B</x:v>
      </x:c>
      <x:c r="E23" s="3" t="str">
        <x:v>31–32</x:v>
      </x:c>
      <x:c r="F23" s="3" t="str">
        <x:v>Reached the top 13 of MasterChef Australia in 2021; won the 2023 series at 34.</x:v>
      </x:c>
      <x:c r="G23" s="3" t="str">
        <x:v>Concrete pumping and boilermaker training preceded the competition.</x:v>
      </x:c>
      <x:c r="H23" s="14" t="str">
        <x:v>Use the earlier 2021 competitive showing, not only the later victory; check apprenticeship/work awards and youth activities.</x:v>
      </x:c>
      <x:c r="I23" s="3" t="str">
        <x:v>Biographical desk screen; incomplete pre-26 coverage</x:v>
      </x:c>
      <x:c r="J23" s="16" t="str">
        <x:v>https://en.wikipedia.org/wiki/Brent_Draper</x:v>
      </x:c>
      <x:c r="K23" s="16" t="str"/>
      <x:c r="L23" s="16" t="str"/>
      <x:c r="M23" s="3" t="str">
        <x:v>Not cleared for first-excellence claim</x:v>
      </x:c>
    </x:row>
    <x:row r="24" ht="118" customHeight="1">
      <x:c r="A24" s="3" t="str">
        <x:v>040</x:v>
      </x:c>
      <x:c r="B24" s="12" t="str">
        <x:v>Nadiya Hussain</x:v>
      </x:c>
      <x:c r="C24" s="3" t="str">
        <x:v>Baking</x:v>
      </x:c>
      <x:c r="D24" s="3" t="str">
        <x:v>B</x:v>
      </x:c>
      <x:c r="E24" s="3" t="str">
        <x:v>30</x:v>
      </x:c>
      <x:c r="F24" s="3" t="str">
        <x:v>Won The Great British Bake Off in 2015.</x:v>
      </x:c>
      <x:c r="G24" s="3" t="str">
        <x:v>Mother of three; learned basic cooking at school and developed baking through books and videos.</x:v>
      </x:c>
      <x:c r="H24" s="14" t="str">
        <x:v>Audit earlier local contests, school distinctions and any professional output. Her father’s restaurant is family context, not her own achievement.</x:v>
      </x:c>
      <x:c r="I24" s="3" t="str">
        <x:v>Biographical desk screen; incomplete pre-26 coverage</x:v>
      </x:c>
      <x:c r="J24" s="16" t="str">
        <x:v>https://en.wikipedia.org/wiki/Nadiya_Hussain</x:v>
      </x:c>
      <x:c r="K24" s="16" t="str">
        <x:v>https://www.nadiyahussain.com/about-me/</x:v>
      </x:c>
      <x:c r="L24" s="16" t="str"/>
      <x:c r="M24" s="3" t="str">
        <x:v>Not cleared for first-excellence claim</x:v>
      </x:c>
    </x:row>
    <x:row r="25" ht="118" customHeight="1">
      <x:c r="A25" s="3" t="str">
        <x:v>041</x:v>
      </x:c>
      <x:c r="B25" s="12" t="str">
        <x:v>Kristin Hannah</x:v>
      </x:c>
      <x:c r="C25" s="3" t="str">
        <x:v>Fiction</x:v>
      </x:c>
      <x:c r="D25" s="3" t="str">
        <x:v>B</x:v>
      </x:c>
      <x:c r="E25" s="3" t="str">
        <x:v>30–31</x:v>
      </x:c>
      <x:c r="F25" s="3" t="str">
        <x:v>A Handful of Heaven was published in 1991.</x:v>
      </x:c>
      <x:c r="G25" s="3" t="str">
        <x:v>Practised law before fiction writing.</x:v>
      </x:c>
      <x:c r="H25" s="14" t="str">
        <x:v>Check legal/academic honours and earlier stories; first acceptance likely predates first publication.</x:v>
      </x:c>
      <x:c r="I25" s="3" t="str">
        <x:v>Biographical desk screen; incomplete pre-26 coverage</x:v>
      </x:c>
      <x:c r="J25" s="16" t="str">
        <x:v>https://en.wikipedia.org/wiki/Kristin_Hannah</x:v>
      </x:c>
      <x:c r="K25" s="16" t="str"/>
      <x:c r="L25" s="16" t="str"/>
      <x:c r="M25" s="3" t="str">
        <x:v>Not cleared for first-excellence claim</x:v>
      </x:c>
    </x:row>
    <x:row r="26" ht="118" customHeight="1">
      <x:c r="A26" s="3" t="str">
        <x:v>042</x:v>
      </x:c>
      <x:c r="B26" s="12" t="str">
        <x:v>Linda Howard</x:v>
      </x:c>
      <x:c r="C26" s="3" t="str">
        <x:v>Fiction</x:v>
      </x:c>
      <x:c r="D26" s="3" t="str">
        <x:v>B</x:v>
      </x:c>
      <x:c r="E26" s="3" t="str">
        <x:v>31–32</x:v>
      </x:c>
      <x:c r="F26" s="3" t="str">
        <x:v>All That Glitters was published by Silhouette in 1982; submissions began around 1980.</x:v>
      </x:c>
      <x:c r="G26" s="3" t="str">
        <x:v>Trucking-company employee; wrote privately for years.</x:v>
      </x:c>
      <x:c r="H26" s="14" t="str">
        <x:v>Long private practice is not proof of earlier distinction, but earlier school prizes and contract date still need audit.</x:v>
      </x:c>
      <x:c r="I26" s="3" t="str">
        <x:v>Biographical desk screen; incomplete pre-26 coverage</x:v>
      </x:c>
      <x:c r="J26" s="16" t="str">
        <x:v>https://en.wikipedia.org/wiki/Linda_Howard</x:v>
      </x:c>
      <x:c r="K26" s="16" t="str"/>
      <x:c r="L26" s="16" t="str"/>
      <x:c r="M26" s="3" t="str">
        <x:v>Not cleared for first-excellence claim</x:v>
      </x:c>
    </x:row>
    <x:row r="27" ht="118" customHeight="1">
      <x:c r="A27" s="3" t="str">
        <x:v>044</x:v>
      </x:c>
      <x:c r="B27" s="12" t="str">
        <x:v>Camilla Läckberg</x:v>
      </x:c>
      <x:c r="C27" s="3" t="str">
        <x:v>Fiction</x:v>
      </x:c>
      <x:c r="D27" s="3" t="str">
        <x:v>B</x:v>
      </x:c>
      <x:c r="E27" s="3" t="str">
        <x:v>28–29</x:v>
      </x:c>
      <x:c r="F27" s="3" t="str">
        <x:v>The Ice Princess was published in Sweden in 2003.</x:v>
      </x:c>
      <x:c r="G27" s="3" t="str">
        <x:v>Economics graduate and economist; childhood story-writing is documented.</x:v>
      </x:c>
      <x:c r="H27" s="14" t="str">
        <x:v>A childhood story is not a distinction without external evaluation; check prizes and earlier professional achievements.</x:v>
      </x:c>
      <x:c r="I27" s="3" t="str">
        <x:v>Biographical desk screen; incomplete pre-26 coverage</x:v>
      </x:c>
      <x:c r="J27" s="16" t="str">
        <x:v>https://en.wikipedia.org/wiki/Camilla_L%C3%A4ckberg</x:v>
      </x:c>
      <x:c r="K27" s="16" t="str"/>
      <x:c r="L27" s="16" t="str"/>
      <x:c r="M27" s="3" t="str">
        <x:v>Not cleared for first-excellence claim</x:v>
      </x:c>
    </x:row>
    <x:row r="28" ht="118" customHeight="1">
      <x:c r="A28" s="3" t="str">
        <x:v>045</x:v>
      </x:c>
      <x:c r="B28" s="12" t="str">
        <x:v>Rhod Gilbert</x:v>
      </x:c>
      <x:c r="C28" s="3" t="str">
        <x:v>Comedy</x:v>
      </x:c>
      <x:c r="D28" s="3" t="str">
        <x:v>B</x:v>
      </x:c>
      <x:c r="E28" s="3" t="str">
        <x:v>34–35</x:v>
      </x:c>
      <x:c r="F28" s="3" t="str">
        <x:v>Won newcomer talent competitions in 2003 after beginning comedy in 2002.</x:v>
      </x:c>
      <x:c r="G28" s="3" t="str">
        <x:v>University education and market-research work preceded stand-up.</x:v>
      </x:c>
      <x:c r="H28" s="14" t="str">
        <x:v>Confirm exact first competition and audit school/work achievements; the 2005 Edinburgh nomination is not the first proof.</x:v>
      </x:c>
      <x:c r="I28" s="3" t="str">
        <x:v>Biographical desk screen; incomplete pre-26 coverage</x:v>
      </x:c>
      <x:c r="J28" s="16" t="str">
        <x:v>https://en.wikipedia.org/wiki/Rhod_Gilbert</x:v>
      </x:c>
      <x:c r="K28" s="16" t="str">
        <x:v>https://www.tntmagazine.com/leisure-entertainment/interviews/rhod-gilbert-interview-the-stand-up-comedian-on-being-angry-and-becoming-waless-sexiest-specimen/</x:v>
      </x:c>
      <x:c r="L28" s="16" t="str"/>
      <x:c r="M28" s="3" t="str">
        <x:v>Not cleared for first-excellence claim</x:v>
      </x:c>
    </x:row>
    <x:row r="29" ht="118" customHeight="1">
      <x:c r="A29" s="3" t="str">
        <x:v>047</x:v>
      </x:c>
      <x:c r="B29" s="12" t="str">
        <x:v>Hiroko Oyamada</x:v>
      </x:c>
      <x:c r="C29" s="3" t="str">
        <x:v>Fiction</x:v>
      </x:c>
      <x:c r="D29" s="3" t="str">
        <x:v>B</x:v>
      </x:c>
      <x:c r="E29" s="3" t="str">
        <x:v>26–27</x:v>
      </x:c>
      <x:c r="F29" s="3" t="str">
        <x:v>The Factory received the Shincho Prize for New Writers in 2010.</x:v>
      </x:c>
      <x:c r="G29" s="3" t="str">
        <x:v>Japanese-literature graduate; changed ordinary jobs several times, including work in a car factory.</x:v>
      </x:c>
      <x:c r="H29" s="14" t="str">
        <x:v>Check university writing awards and earlier publication; exact award age needs a full birth date.</x:v>
      </x:c>
      <x:c r="I29" s="3" t="str">
        <x:v>Biographical desk screen; incomplete pre-26 coverage</x:v>
      </x:c>
      <x:c r="J29" s="16" t="str">
        <x:v>https://en.wikipedia.org/wiki/Hiroko_Oyamada</x:v>
      </x:c>
      <x:c r="K29" s="16" t="str"/>
      <x:c r="L29" s="16" t="str"/>
      <x:c r="M29" s="3" t="str">
        <x:v>Not cleared for first-excellence claim</x:v>
      </x:c>
    </x:row>
    <x:row r="30" ht="118" customHeight="1">
      <x:c r="A30" s="3" t="str">
        <x:v>048</x:v>
      </x:c>
      <x:c r="B30" s="12" t="str">
        <x:v>Hiro Arikawa</x:v>
      </x:c>
      <x:c r="C30" s="3" t="str">
        <x:v>Fiction</x:v>
      </x:c>
      <x:c r="D30" s="3" t="str">
        <x:v>B</x:v>
      </x:c>
      <x:c r="E30" s="3" t="str">
        <x:v>31</x:v>
      </x:c>
      <x:c r="F30" s="3" t="str">
        <x:v>Won the 2003 Dengeki Novel Prize; the winning novel was published in 2004.</x:v>
      </x:c>
      <x:c r="G30" s="3" t="str">
        <x:v>Publicly accessible early-life detail in the reviewed biography is sparse.</x:v>
      </x:c>
      <x:c r="H30" s="14" t="str">
        <x:v>The award and age are clear, but no claim about absent pre-25 distinction is warranted yet.</x:v>
      </x:c>
      <x:c r="I30" s="3" t="str">
        <x:v>Biographical desk screen; incomplete pre-26 coverage</x:v>
      </x:c>
      <x:c r="J30" s="16" t="str">
        <x:v>https://en.wikipedia.org/wiki/Hiro_Arikawa</x:v>
      </x:c>
      <x:c r="K30" s="16" t="str"/>
      <x:c r="L30" s="16" t="str"/>
      <x:c r="M30" s="3" t="str">
        <x:v>Not cleared for first-excellence claim</x:v>
      </x:c>
    </x:row>
    <x:row r="31" ht="118" customHeight="1">
      <x:c r="A31" s="3" t="str">
        <x:v>049</x:v>
      </x:c>
      <x:c r="B31" s="12" t="str">
        <x:v>Karin Slaughter</x:v>
      </x:c>
      <x:c r="C31" s="3" t="str">
        <x:v>Fiction</x:v>
      </x:c>
      <x:c r="D31" s="3" t="str">
        <x:v>B</x:v>
      </x:c>
      <x:c r="E31" s="3" t="str">
        <x:v>30</x:v>
      </x:c>
      <x:c r="F31" s="3" t="str">
        <x:v>Blindsighted was published and shortlisted for a debut crime-writing award in 2001.</x:v>
      </x:c>
      <x:c r="G31" s="3" t="str">
        <x:v>Adult writing career; earlier work history requires a better primary account.</x:v>
      </x:c>
      <x:c r="H31" s="14" t="str">
        <x:v>Investigate the earlier sign business and school writing distinctions; not yet a clean first-excellence case.</x:v>
      </x:c>
      <x:c r="I31" s="3" t="str">
        <x:v>Biographical desk screen; incomplete pre-26 coverage</x:v>
      </x:c>
      <x:c r="J31" s="16" t="str">
        <x:v>https://en.wikipedia.org/wiki/Karin_Slaughter</x:v>
      </x:c>
      <x:c r="K31" s="16" t="str"/>
      <x:c r="L31" s="16" t="str"/>
      <x:c r="M31" s="3" t="str">
        <x:v>Not cleared for first-excellence claim</x:v>
      </x:c>
    </x:row>
    <x:row r="32" ht="118" customHeight="1">
      <x:c r="A32" s="3" t="str">
        <x:v>052</x:v>
      </x:c>
      <x:c r="B32" s="12" t="str">
        <x:v>Larry Brown</x:v>
      </x:c>
      <x:c r="C32" s="3" t="str">
        <x:v>Fiction</x:v>
      </x:c>
      <x:c r="D32" s="3" t="str">
        <x:v>B</x:v>
      </x:c>
      <x:c r="E32" s="3" t="str">
        <x:v>30</x:v>
      </x:c>
      <x:c r="F32" s="3" t="str">
        <x:v>First story appeared in Easyriders in June 1982, before the 1988 debut collection.</x:v>
      </x:c>
      <x:c r="G32" s="3" t="str">
        <x:v>Marine service, factory work and firefighting; began writing seriously around 1980.</x:v>
      </x:c>
      <x:c r="H32" s="14" t="str">
        <x:v>Audit school prizes, military distinctions and earlier unpublished or locally published work.</x:v>
      </x:c>
      <x:c r="I32" s="3" t="str">
        <x:v>Biographical desk screen; incomplete pre-26 coverage</x:v>
      </x:c>
      <x:c r="J32" s="16" t="str">
        <x:v>https://en.wikipedia.org/wiki/Larry_Brown_(writer)</x:v>
      </x:c>
      <x:c r="K32" s="16" t="str"/>
      <x:c r="L32" s="16" t="str"/>
      <x:c r="M32" s="3" t="str">
        <x:v>Not cleared for first-excellence claim</x:v>
      </x:c>
    </x:row>
    <x:row r="33" ht="118" customHeight="1">
      <x:c r="A33" s="3" t="str">
        <x:v>054</x:v>
      </x:c>
      <x:c r="B33" s="12" t="str">
        <x:v>Joe Abercrombie</x:v>
      </x:c>
      <x:c r="C33" s="3" t="str">
        <x:v>Fiction</x:v>
      </x:c>
      <x:c r="D33" s="3" t="str">
        <x:v>B</x:v>
      </x:c>
      <x:c r="E33" s="3" t="str">
        <x:v>30</x:v>
      </x:c>
      <x:c r="F33" s="3" t="str">
        <x:v>Gollancz acquired his debut in 2005; publication followed in 2006.</x:v>
      </x:c>
      <x:c r="G33" s="3" t="str">
        <x:v>Psychology graduate who worked in television editing.</x:v>
      </x:c>
      <x:c r="H33" s="14" t="str">
        <x:v>Earlier professional editing may contain a qualifying accomplishment; date and evaluate the strongest pre-25 work.</x:v>
      </x:c>
      <x:c r="I33" s="3" t="str">
        <x:v>Biographical desk screen; incomplete pre-26 coverage</x:v>
      </x:c>
      <x:c r="J33" s="16" t="str">
        <x:v>https://en.wikipedia.org/wiki/Joe_Abercrombie</x:v>
      </x:c>
      <x:c r="K33" s="16" t="str"/>
      <x:c r="L33" s="16" t="str"/>
      <x:c r="M33" s="3" t="str">
        <x:v>Not cleared for first-excellence claim</x:v>
      </x:c>
    </x:row>
    <x:row r="34" ht="118" customHeight="1">
      <x:c r="A34" s="3" t="str">
        <x:v>057</x:v>
      </x:c>
      <x:c r="B34" s="12" t="str">
        <x:v>Dennis Lehane</x:v>
      </x:c>
      <x:c r="C34" s="3" t="str">
        <x:v>Fiction</x:v>
      </x:c>
      <x:c r="D34" s="3" t="str">
        <x:v>B</x:v>
      </x:c>
      <x:c r="E34" s="3" t="str">
        <x:v>28–29</x:v>
      </x:c>
      <x:c r="F34" s="3" t="str">
        <x:v>A Drink Before the War was published in 1994, preceding its 1995 Shamus Award.</x:v>
      </x:c>
      <x:c r="G34" s="3" t="str">
        <x:v>Studied at Eckerd and later completed a creative-writing MFA.</x:v>
      </x:c>
      <x:c r="H34" s="14" t="str">
        <x:v>Find earlier stories, competitive scholarships and writing prizes; MFA chronology and selectivity matter.</x:v>
      </x:c>
      <x:c r="I34" s="3" t="str">
        <x:v>Biographical desk screen; incomplete pre-26 coverage</x:v>
      </x:c>
      <x:c r="J34" s="16" t="str">
        <x:v>https://en.wikipedia.org/wiki/Dennis_Lehane</x:v>
      </x:c>
      <x:c r="K34" s="16" t="str"/>
      <x:c r="L34" s="16" t="str"/>
      <x:c r="M34" s="3" t="str">
        <x:v>Not cleared for first-excellence claim</x:v>
      </x:c>
    </x:row>
    <x:row r="35" ht="118" customHeight="1">
      <x:c r="A35" s="3" t="str">
        <x:v>058</x:v>
      </x:c>
      <x:c r="B35" s="12" t="str">
        <x:v>LaVyrle Spencer</x:v>
      </x:c>
      <x:c r="C35" s="3" t="str">
        <x:v>Fiction</x:v>
      </x:c>
      <x:c r="D35" s="3" t="str">
        <x:v>B</x:v>
      </x:c>
      <x:c r="E35" s="3" t="str">
        <x:v>35–36</x:v>
      </x:c>
      <x:c r="F35" s="3" t="str">
        <x:v>Avon acquired and published The Fulfillment in 1979.</x:v>
      </x:c>
      <x:c r="G35" s="3" t="str">
        <x:v>Teacher’s aide and mother; began her first novel in her thirties.</x:v>
      </x:c>
      <x:c r="H35" s="14" t="str">
        <x:v>A reported flair for school writing is not itself a prize. Check school competitions and first contract date; strengthen the biographical source.</x:v>
      </x:c>
      <x:c r="I35" s="3" t="str">
        <x:v>Biographical desk screen; incomplete pre-26 coverage</x:v>
      </x:c>
      <x:c r="J35" s="16" t="str">
        <x:v>https://en.wikipedia.org/wiki/LaVyrle_Spencer</x:v>
      </x:c>
      <x:c r="K35" s="16" t="str"/>
      <x:c r="L35" s="16" t="str"/>
      <x:c r="M35" s="3" t="str">
        <x:v>Not cleared for first-excellence claim</x:v>
      </x:c>
    </x:row>
    <x:row r="36" ht="118" customHeight="1">
      <x:c r="A36" s="3" t="str">
        <x:v>060</x:v>
      </x:c>
      <x:c r="B36" s="12" t="str">
        <x:v>Jayne Ann Krentz</x:v>
      </x:c>
      <x:c r="C36" s="3" t="str">
        <x:v>Fiction</x:v>
      </x:c>
      <x:c r="D36" s="3" t="str">
        <x:v>B</x:v>
      </x:c>
      <x:c r="E36" s="3" t="str">
        <x:v>30–31</x:v>
      </x:c>
      <x:c r="F36" s="3" t="str">
        <x:v>Sold her first novel, Gentle Pirate, in 1979 after six years of rejected submissions.</x:v>
      </x:c>
      <x:c r="G36" s="3" t="str">
        <x:v>University education and library work preceded fiction.</x:v>
      </x:c>
      <x:c r="H36" s="14" t="str">
        <x:v>Audit university distinctions, library accomplishments and any prior publications; ordinary qualifications alone do not exclude.</x:v>
      </x:c>
      <x:c r="I36" s="3" t="str">
        <x:v>Biographical desk screen; incomplete pre-26 coverage</x:v>
      </x:c>
      <x:c r="J36" s="16" t="str">
        <x:v>https://en.wikipedia.org/wiki/Jayne_Ann_Krentz</x:v>
      </x:c>
      <x:c r="K36" s="16" t="str"/>
      <x:c r="L36" s="16" t="str"/>
      <x:c r="M36" s="3" t="str">
        <x:v>Not cleared for first-excellence claim</x:v>
      </x:c>
    </x:row>
    <x:row r="37" ht="118" customHeight="1">
      <x:c r="A37" s="3" t="str">
        <x:v>061</x:v>
      </x:c>
      <x:c r="B37" s="12" t="str">
        <x:v>Susan Elizabeth Phillips</x:v>
      </x:c>
      <x:c r="C37" s="3" t="str">
        <x:v>Fiction</x:v>
      </x:c>
      <x:c r="D37" s="3" t="str">
        <x:v>B</x:v>
      </x:c>
      <x:c r="E37" s="3" t="str">
        <x:v>38–39</x:v>
      </x:c>
      <x:c r="F37" s="3" t="str">
        <x:v>Coauthored The Copeland Bride, published in 1983.</x:v>
      </x:c>
      <x:c r="G37" s="3" t="str">
        <x:v>Theatre-arts graduate; taught drama, speech and English, then became a stay-at-home mother.</x:v>
      </x:c>
      <x:c r="H37" s="14" t="str">
        <x:v>Check earlier stage roles and university performances for independently selected distinction. Birth year in source is 1944, not 1948.</x:v>
      </x:c>
      <x:c r="I37" s="3" t="str">
        <x:v>Biographical desk screen; incomplete pre-26 coverage</x:v>
      </x:c>
      <x:c r="J37" s="16" t="str">
        <x:v>https://en.wikipedia.org/wiki/Susan_Elizabeth_Phillips</x:v>
      </x:c>
      <x:c r="K37" s="16" t="str"/>
      <x:c r="L37" s="16" t="str"/>
      <x:c r="M37" s="3" t="str">
        <x:v>Not cleared for first-excellence claim</x:v>
      </x:c>
    </x:row>
    <x:row r="38" ht="118" customHeight="1">
      <x:c r="A38" s="3" t="str">
        <x:v>062</x:v>
      </x:c>
      <x:c r="B38" s="12" t="str">
        <x:v>Penny Jordan</x:v>
      </x:c>
      <x:c r="C38" s="3" t="str">
        <x:v>Fiction</x:v>
      </x:c>
      <x:c r="D38" s="3" t="str">
        <x:v>B</x:v>
      </x:c>
      <x:c r="E38" s="3" t="str">
        <x:v>32</x:v>
      </x:c>
      <x:c r="F38" s="3" t="str">
        <x:v>First novel Duchess in Disguise appeared in March 1979, following an adult writing competition and agent interest.</x:v>
      </x:c>
      <x:c r="G38" s="3" t="str">
        <x:v>Left school with three O-levels; worked as a shorthand typist for fourteen years.</x:v>
      </x:c>
      <x:c r="H38" s="14" t="str">
        <x:v>Identify the earlier competition/agent dates; audit school and occupational distinctions rather than equating private childhood stories with achievement.</x:v>
      </x:c>
      <x:c r="I38" s="3" t="str">
        <x:v>Biographical desk screen; incomplete pre-26 coverage</x:v>
      </x:c>
      <x:c r="J38" s="16" t="str">
        <x:v>https://en.wikipedia.org/wiki/Penny_Jordan</x:v>
      </x:c>
      <x:c r="K38" s="16" t="str"/>
      <x:c r="L38" s="16" t="str"/>
      <x:c r="M38" s="3" t="str">
        <x:v>Not cleared for first-excellence claim</x:v>
      </x:c>
    </x:row>
    <x:row r="39" ht="118" customHeight="1">
      <x:c r="A39" s="3" t="str">
        <x:v>063</x:v>
      </x:c>
      <x:c r="B39" s="12" t="str">
        <x:v>Lynne Graham</x:v>
      </x:c>
      <x:c r="C39" s="3" t="str">
        <x:v>Fiction</x:v>
      </x:c>
      <x:c r="D39" s="3" t="str">
        <x:v>B</x:v>
      </x:c>
      <x:c r="E39" s="3" t="str">
        <x:v>30–31</x:v>
      </x:c>
      <x:c r="F39" s="3" t="str">
        <x:v>Bittersweet Passion was published in 1987.</x:v>
      </x:c>
      <x:c r="G39" s="3" t="str">
        <x:v>University education and family life preceded her published novels.</x:v>
      </x:c>
      <x:c r="H39" s="14" t="str">
        <x:v>Early-life source is thin and partly unsourced; obtain first-person history and check Edinburgh admission/academic distinctions.</x:v>
      </x:c>
      <x:c r="I39" s="3" t="str">
        <x:v>Biographical desk screen; incomplete pre-26 coverage</x:v>
      </x:c>
      <x:c r="J39" s="16" t="str">
        <x:v>https://en.wikipedia.org/wiki/Lynne_Graham</x:v>
      </x:c>
      <x:c r="K39" s="16" t="str"/>
      <x:c r="L39" s="16" t="str"/>
      <x:c r="M39" s="3" t="str">
        <x:v>Not cleared for first-excellence claim</x:v>
      </x:c>
    </x:row>
    <x:row r="40" ht="118" customHeight="1">
      <x:c r="A40" s="3" t="str">
        <x:v>064</x:v>
      </x:c>
      <x:c r="B40" s="12" t="str">
        <x:v>Ann Maxwell / Elizabeth Lowell</x:v>
      </x:c>
      <x:c r="C40" s="3" t="str">
        <x:v>Fiction</x:v>
      </x:c>
      <x:c r="D40" s="3" t="str">
        <x:v>B</x:v>
      </x:c>
      <x:c r="E40" s="3" t="str">
        <x:v>30–31</x:v>
      </x:c>
      <x:c r="F40" s="3" t="str">
        <x:v>Her first novel Change was published in 1975.</x:v>
      </x:c>
      <x:c r="G40" s="3" t="str">
        <x:v>Began writing a science-fiction novel for herself without creative-writing training.</x:v>
      </x:c>
      <x:c r="H40" s="14" t="str">
        <x:v>Confirm birth date, first sale and earlier educational/work distinctions. Do not use an incorrect 1971 debut date.</x:v>
      </x:c>
      <x:c r="I40" s="3" t="str">
        <x:v>Biographical desk screen; incomplete pre-26 coverage</x:v>
      </x:c>
      <x:c r="J40" s="16" t="str">
        <x:v>https://en.wikipedia.org/wiki/Ann_Maxwell</x:v>
      </x:c>
      <x:c r="K40" s="16" t="str"/>
      <x:c r="L40" s="16" t="str"/>
      <x:c r="M40" s="3" t="str">
        <x:v>Not cleared for first-excellence claim</x:v>
      </x:c>
    </x:row>
    <x:row r="41" ht="118" customHeight="1">
      <x:c r="A41" s="3" t="str">
        <x:v>065</x:v>
      </x:c>
      <x:c r="B41" s="12" t="str">
        <x:v>Marian Keyes</x:v>
      </x:c>
      <x:c r="C41" s="3" t="str">
        <x:v>Fiction</x:v>
      </x:c>
      <x:c r="D41" s="3" t="str">
        <x:v>B</x:v>
      </x:c>
      <x:c r="E41" s="3" t="str">
        <x:v>31–32</x:v>
      </x:c>
      <x:c r="F41" s="3" t="str">
        <x:v>Poolbeg published Watermelon in 1995 after receiving her short stories.</x:v>
      </x:c>
      <x:c r="G41" s="3" t="str">
        <x:v>Law graduate who worked in administration.</x:v>
      </x:c>
      <x:c r="H41" s="14" t="str">
        <x:v>Check earlier short-story acceptances and academic distinctions. Personal hardship is not evidence that prior excellence was absent.</x:v>
      </x:c>
      <x:c r="I41" s="3" t="str">
        <x:v>Biographical desk screen; incomplete pre-26 coverage</x:v>
      </x:c>
      <x:c r="J41" s="16" t="str">
        <x:v>https://en.wikipedia.org/wiki/Marian_Keyes</x:v>
      </x:c>
      <x:c r="K41" s="16" t="str"/>
      <x:c r="L41" s="16" t="str"/>
      <x:c r="M41" s="3" t="str">
        <x:v>Not cleared for first-excellence claim</x:v>
      </x:c>
    </x:row>
    <x:row r="42" ht="118" customHeight="1">
      <x:c r="A42" s="3" t="str">
        <x:v>066</x:v>
      </x:c>
      <x:c r="B42" s="12" t="str">
        <x:v>Jill Mansell</x:v>
      </x:c>
      <x:c r="C42" s="3" t="str">
        <x:v>Fiction</x:v>
      </x:c>
      <x:c r="D42" s="3" t="str">
        <x:v>B</x:v>
      </x:c>
      <x:c r="E42" s="3" t="str">
        <x:v>34–35</x:v>
      </x:c>
      <x:c r="F42" s="3" t="str">
        <x:v>Had sufficient publishing success to leave hospital work in 1992; exact first acceptance remains to be located.</x:v>
      </x:c>
      <x:c r="G42" s="3" t="str">
        <x:v>Worked at the Burden Neurological Institute from leaving school.</x:v>
      </x:c>
      <x:c r="H42" s="14" t="str">
        <x:v>Locate first publication/contract before 1992, and assess earlier work or school distinctions.</x:v>
      </x:c>
      <x:c r="I42" s="3" t="str">
        <x:v>Biographical desk screen; incomplete pre-26 coverage</x:v>
      </x:c>
      <x:c r="J42" s="16" t="str">
        <x:v>https://en.wikipedia.org/wiki/Jill_Mansell</x:v>
      </x:c>
      <x:c r="K42" s="16" t="str"/>
      <x:c r="L42" s="16" t="str"/>
      <x:c r="M42" s="3" t="str">
        <x:v>Not cleared for first-excellence claim</x:v>
      </x:c>
    </x:row>
    <x:row r="43" ht="118" customHeight="1">
      <x:c r="A43" s="3" t="str">
        <x:v>068</x:v>
      </x:c>
      <x:c r="B43" s="12" t="str">
        <x:v>Catherine Coulter</x:v>
      </x:c>
      <x:c r="C43" s="3" t="str">
        <x:v>Fiction</x:v>
      </x:c>
      <x:c r="D43" s="3" t="str">
        <x:v>B</x:v>
      </x:c>
      <x:c r="E43" s="3" t="str">
        <x:v>35–36</x:v>
      </x:c>
      <x:c r="F43" s="3" t="str">
        <x:v>Signet offered a three-book contract; The Autumn Countess appeared in 1978.</x:v>
      </x:c>
      <x:c r="G43" s="3" t="str">
        <x:v>Studied history; wrote poetry privately as a student.</x:v>
      </x:c>
      <x:c r="H43" s="14" t="str">
        <x:v>Audit the poetry’s publication status, graduate distinctions and earlier employment. Verify contract date rather than using publication alone.</x:v>
      </x:c>
      <x:c r="I43" s="3" t="str">
        <x:v>Biographical desk screen; incomplete pre-26 coverage</x:v>
      </x:c>
      <x:c r="J43" s="16" t="str">
        <x:v>https://en.wikipedia.org/wiki/Catherine_Coulter</x:v>
      </x:c>
      <x:c r="K43" s="16" t="str"/>
      <x:c r="L43" s="16" t="str"/>
      <x:c r="M43" s="3" t="str">
        <x:v>Not cleared for first-excellence claim</x:v>
      </x:c>
    </x:row>
    <x:row r="44" ht="118" customHeight="1">
      <x:c r="A44" s="3" t="str">
        <x:v>070</x:v>
      </x:c>
      <x:c r="B44" s="12" t="str">
        <x:v>Elizabeth Strout</x:v>
      </x:c>
      <x:c r="C44" s="3" t="str">
        <x:v>Fiction / law</x:v>
      </x:c>
      <x:c r="D44" s="3" t="str">
        <x:v>B</x:v>
      </x:c>
      <x:c r="E44" s="3" t="str">
        <x:v>26</x:v>
      </x:c>
      <x:c r="F44" s="3" t="str">
        <x:v>First story appeared in New Letters in 1982, the year she graduated from law school with honours.</x:v>
      </x:c>
      <x:c r="G44" s="3" t="str">
        <x:v>College and legal education preceded fiction.</x:v>
      </x:c>
      <x:c r="H44" s="14" t="str">
        <x:v>The 1982 honours may themselves be first proof after 25; audit earlier Bates academic distinctions and any earlier stories.</x:v>
      </x:c>
      <x:c r="I44" s="3" t="str">
        <x:v>Biographical desk screen; incomplete pre-26 coverage</x:v>
      </x:c>
      <x:c r="J44" s="16" t="str">
        <x:v>https://en.wikipedia.org/wiki/Elizabeth_Strout</x:v>
      </x:c>
      <x:c r="K44" s="16" t="str"/>
      <x:c r="L44" s="16" t="str"/>
      <x:c r="M44" s="3" t="str">
        <x:v>Not cleared for first-excellence claim</x:v>
      </x:c>
    </x:row>
    <x:row r="45" ht="118" customHeight="1">
      <x:c r="A45" s="3" t="str">
        <x:v>071</x:v>
      </x:c>
      <x:c r="B45" s="12" t="str">
        <x:v>Liu Cixin</x:v>
      </x:c>
      <x:c r="C45" s="3" t="str">
        <x:v>Fiction</x:v>
      </x:c>
      <x:c r="D45" s="3" t="str">
        <x:v>B</x:v>
      </x:c>
      <x:c r="E45" s="3" t="str">
        <x:v>34–35</x:v>
      </x:c>
      <x:c r="F45" s="3" t="str">
        <x:v>A 1998 Science Fiction World story precedes the better-known 1999 publications and awards.</x:v>
      </x:c>
      <x:c r="G45" s="3" t="str">
        <x:v>Worked as a power-plant engineer; wrote a novel manuscript in 1989.</x:v>
      </x:c>
      <x:c r="H45" s="14" t="str">
        <x:v>Audit earlier engineering results and whether the 1989 manuscript had external validation; reconcile first-publication accounts.</x:v>
      </x:c>
      <x:c r="I45" s="3" t="str">
        <x:v>Biographical desk screen; incomplete pre-26 coverage</x:v>
      </x:c>
      <x:c r="J45" s="16" t="str">
        <x:v>https://en.wikipedia.org/wiki/Liu_Cixin</x:v>
      </x:c>
      <x:c r="K45" s="16" t="str"/>
      <x:c r="L45" s="16" t="str"/>
      <x:c r="M45" s="3" t="str">
        <x:v>Not cleared for first-excellence claim</x:v>
      </x:c>
    </x:row>
    <x:row r="46" ht="118" customHeight="1">
      <x:c r="A46" s="3" t="str">
        <x:v>072</x:v>
      </x:c>
      <x:c r="B46" s="12" t="str">
        <x:v>Åsa Larsson</x:v>
      </x:c>
      <x:c r="C46" s="3" t="str">
        <x:v>Fiction</x:v>
      </x:c>
      <x:c r="D46" s="3" t="str">
        <x:v>B</x:v>
      </x:c>
      <x:c r="E46" s="3" t="str">
        <x:v>36–37</x:v>
      </x:c>
      <x:c r="F46" s="3" t="str">
        <x:v>Solstorm won the Swedish crime-writing debut award in 2003.</x:v>
      </x:c>
      <x:c r="G46" s="3" t="str">
        <x:v>Worked as a tax lawyer before published fiction.</x:v>
      </x:c>
      <x:c r="H46" s="14" t="str">
        <x:v>Confirm full birth date and any earlier legal/academic distinctions; the 1966 birth year is supported only weakly in this screen.</x:v>
      </x:c>
      <x:c r="I46" s="3" t="str">
        <x:v>Biographical desk screen; incomplete pre-26 coverage</x:v>
      </x:c>
      <x:c r="J46" s="16" t="str">
        <x:v>https://en.wikipedia.org/wiki/%C3%85sa_Larsson</x:v>
      </x:c>
      <x:c r="K46" s="16" t="str"/>
      <x:c r="L46" s="16" t="str"/>
      <x:c r="M46" s="3" t="str">
        <x:v>Not cleared for first-excellence claim</x:v>
      </x:c>
    </x:row>
    <x:row r="47" ht="118" customHeight="1">
      <x:c r="A47" s="3" t="str">
        <x:v>073</x:v>
      </x:c>
      <x:c r="B47" s="12" t="str">
        <x:v>Anita Shreve</x:v>
      </x:c>
      <x:c r="C47" s="3" t="str">
        <x:v>Fiction</x:v>
      </x:c>
      <x:c r="D47" s="3" t="str">
        <x:v>B</x:v>
      </x:c>
      <x:c r="E47" s="3" t="str">
        <x:v>28–29</x:v>
      </x:c>
      <x:c r="F47" s="3" t="str">
        <x:v>Past the Island, Drifting was published in 1975 and won an O. Henry Prize in 1976.</x:v>
      </x:c>
      <x:c r="G47" s="3" t="str">
        <x:v>Teacher before journalism and fiction.</x:v>
      </x:c>
      <x:c r="H47" s="14" t="str">
        <x:v>Determine whether earlier stories or journalism preceded 26, and assess university distinctions; later bestseller status is irrelevant.</x:v>
      </x:c>
      <x:c r="I47" s="3" t="str">
        <x:v>Biographical desk screen; incomplete pre-26 coverage</x:v>
      </x:c>
      <x:c r="J47" s="16" t="str">
        <x:v>https://en.wikipedia.org/wiki/Anita_Shreve</x:v>
      </x:c>
      <x:c r="K47" s="16" t="str"/>
      <x:c r="L47" s="16" t="str"/>
      <x:c r="M47" s="3" t="str">
        <x:v>Not cleared for first-excellence claim</x:v>
      </x:c>
    </x:row>
    <x:row r="48" ht="118" customHeight="1">
      <x:c r="A48" s="3" t="str">
        <x:v>074</x:v>
      </x:c>
      <x:c r="B48" s="12" t="str">
        <x:v>Richard Burr</x:v>
      </x:c>
      <x:c r="C48" s="3" t="str">
        <x:v>Baking</x:v>
      </x:c>
      <x:c r="D48" s="3" t="str">
        <x:v>B</x:v>
      </x:c>
      <x:c r="E48" s="3" t="str">
        <x:v>38</x:v>
      </x:c>
      <x:c r="F48" s="3" t="str">
        <x:v>2014 Bake Off runner-up; five Star Baker awards.</x:v>
      </x:c>
      <x:c r="G48" s="3" t="str">
        <x:v>Builder.</x:v>
      </x:c>
      <x:c r="H48" s="14" t="str">
        <x:v>Audit earlier trade awards, academic honours and baking competitions; sustained expert judging is the located proof, not television fame.</x:v>
      </x:c>
      <x:c r="I48" s="3" t="str">
        <x:v>Competition record: age, result and occupation; no full early-life review</x:v>
      </x:c>
      <x:c r="J48" s="16" t="str">
        <x:v>https://en.wikipedia.org/wiki/The_Great_British_Bake_Off_series_5</x:v>
      </x:c>
      <x:c r="K48" s="16" t="str"/>
      <x:c r="L48" s="16" t="str"/>
      <x:c r="M48" s="3" t="str">
        <x:v>Not cleared for first-excellence claim</x:v>
      </x:c>
    </x:row>
    <x:row r="49" ht="118" customHeight="1">
      <x:c r="A49" s="3" t="str">
        <x:v>076</x:v>
      </x:c>
      <x:c r="B49" s="12" t="str">
        <x:v>Candice Brown</x:v>
      </x:c>
      <x:c r="C49" s="3" t="str">
        <x:v>Baking</x:v>
      </x:c>
      <x:c r="D49" s="3" t="str">
        <x:v>B</x:v>
      </x:c>
      <x:c r="E49" s="3" t="str">
        <x:v>31</x:v>
      </x:c>
      <x:c r="F49" s="3" t="str">
        <x:v>Won Bake Off in 2016.</x:v>
      </x:c>
      <x:c r="G49" s="3" t="str">
        <x:v>PE teacher.</x:v>
      </x:c>
      <x:c r="H49" s="14" t="str">
        <x:v>Investigate school and university sport: teaching PE does not establish either elite athletic performance or its absence.</x:v>
      </x:c>
      <x:c r="I49" s="3" t="str">
        <x:v>Competition record: age, result and occupation; no full early-life review</x:v>
      </x:c>
      <x:c r="J49" s="16" t="str">
        <x:v>https://en.wikipedia.org/wiki/The_Great_British_Bake_Off_series_7</x:v>
      </x:c>
      <x:c r="K49" s="16" t="str"/>
      <x:c r="L49" s="16" t="str"/>
      <x:c r="M49" s="3" t="str">
        <x:v>Not cleared for first-excellence claim</x:v>
      </x:c>
    </x:row>
    <x:row r="50" ht="118" customHeight="1">
      <x:c r="A50" s="3" t="str">
        <x:v>077</x:v>
      </x:c>
      <x:c r="B50" s="12" t="str">
        <x:v>Selasi Gbormittah</x:v>
      </x:c>
      <x:c r="C50" s="3" t="str">
        <x:v>Baking</x:v>
      </x:c>
      <x:c r="D50" s="3" t="str">
        <x:v>B</x:v>
      </x:c>
      <x:c r="E50" s="3" t="str">
        <x:v>30</x:v>
      </x:c>
      <x:c r="F50" s="3" t="str">
        <x:v>2016 Bake Off semifinalist.</x:v>
      </x:c>
      <x:c r="G50" s="3" t="str">
        <x:v>Client service associate.</x:v>
      </x:c>
      <x:c r="H50" s="14" t="str">
        <x:v>Earlier banking performance, school distinctions and community cooking results remain unexamined.</x:v>
      </x:c>
      <x:c r="I50" s="3" t="str">
        <x:v>Competition record: age, result and occupation; no full early-life review</x:v>
      </x:c>
      <x:c r="J50" s="16" t="str">
        <x:v>https://en.wikipedia.org/wiki/The_Great_British_Bake_Off_series_7</x:v>
      </x:c>
      <x:c r="K50" s="16" t="str"/>
      <x:c r="L50" s="16" t="str"/>
      <x:c r="M50" s="3" t="str">
        <x:v>Not cleared for first-excellence claim</x:v>
      </x:c>
    </x:row>
    <x:row r="51" ht="118" customHeight="1">
      <x:c r="A51" s="3" t="str">
        <x:v>078</x:v>
      </x:c>
      <x:c r="B51" s="12" t="str">
        <x:v>Tom Gilliford</x:v>
      </x:c>
      <x:c r="C51" s="3" t="str">
        <x:v>Baking</x:v>
      </x:c>
      <x:c r="D51" s="3" t="str">
        <x:v>B</x:v>
      </x:c>
      <x:c r="E51" s="3" t="str">
        <x:v>26</x:v>
      </x:c>
      <x:c r="F51" s="3" t="str">
        <x:v>2016 Bake Off sixth-place finisher with Star Baker distinctions.</x:v>
      </x:c>
      <x:c r="G51" s="3" t="str">
        <x:v>Project engagement manager.</x:v>
      </x:c>
      <x:c r="H51" s="14" t="str">
        <x:v>Resolve filming age and date the first award; check earlier creative, academic and professional achievements.</x:v>
      </x:c>
      <x:c r="I51" s="3" t="str">
        <x:v>Competition record: age, result and occupation; no full early-life review</x:v>
      </x:c>
      <x:c r="J51" s="16" t="str">
        <x:v>https://en.wikipedia.org/wiki/The_Great_British_Bake_Off_series_7</x:v>
      </x:c>
      <x:c r="K51" s="16" t="str"/>
      <x:c r="L51" s="16" t="str"/>
      <x:c r="M51" s="3" t="str">
        <x:v>Not cleared for first-excellence claim</x:v>
      </x:c>
    </x:row>
    <x:row r="52" ht="118" customHeight="1">
      <x:c r="A52" s="3" t="str">
        <x:v>079</x:v>
      </x:c>
      <x:c r="B52" s="12" t="str">
        <x:v>Kate Lyon</x:v>
      </x:c>
      <x:c r="C52" s="3" t="str">
        <x:v>Baking</x:v>
      </x:c>
      <x:c r="D52" s="3" t="str">
        <x:v>B</x:v>
      </x:c>
      <x:c r="E52" s="3" t="str">
        <x:v>29</x:v>
      </x:c>
      <x:c r="F52" s="3" t="str">
        <x:v>2017 Bake Off runner-up.</x:v>
      </x:c>
      <x:c r="G52" s="3" t="str">
        <x:v>Health and safety inspector.</x:v>
      </x:c>
      <x:c r="H52" s="14" t="str">
        <x:v>Search for earlier regional competitions and occupational awards; job description alone is not an early-life audit.</x:v>
      </x:c>
      <x:c r="I52" s="3" t="str">
        <x:v>Competition record: age, result and occupation; no full early-life review</x:v>
      </x:c>
      <x:c r="J52" s="16" t="str">
        <x:v>https://en.wikipedia.org/wiki/The_Great_British_Bake_Off_series_8</x:v>
      </x:c>
      <x:c r="K52" s="16" t="str"/>
      <x:c r="L52" s="16" t="str"/>
      <x:c r="M52" s="3" t="str">
        <x:v>Not cleared for first-excellence claim</x:v>
      </x:c>
    </x:row>
    <x:row r="53" ht="118" customHeight="1">
      <x:c r="A53" s="3" t="str">
        <x:v>080</x:v>
      </x:c>
      <x:c r="B53" s="12" t="str">
        <x:v>Steven Carter-Bailey</x:v>
      </x:c>
      <x:c r="C53" s="3" t="str">
        <x:v>Baking</x:v>
      </x:c>
      <x:c r="D53" s="3" t="str">
        <x:v>B</x:v>
      </x:c>
      <x:c r="E53" s="3" t="str">
        <x:v>34</x:v>
      </x:c>
      <x:c r="F53" s="3" t="str">
        <x:v>2017 Bake Off runner-up.</x:v>
      </x:c>
      <x:c r="G53" s="3" t="str">
        <x:v>Marketer.</x:v>
      </x:c>
      <x:c r="H53" s="14" t="str">
        <x:v>Date any earlier cake commissions or awards and investigate marketing achievements before 25.</x:v>
      </x:c>
      <x:c r="I53" s="3" t="str">
        <x:v>Competition record: age, result and occupation; no full early-life review</x:v>
      </x:c>
      <x:c r="J53" s="16" t="str">
        <x:v>https://en.wikipedia.org/wiki/The_Great_British_Bake_Off_series_8</x:v>
      </x:c>
      <x:c r="K53" s="16" t="str"/>
      <x:c r="L53" s="16" t="str"/>
      <x:c r="M53" s="3" t="str">
        <x:v>Not cleared for first-excellence claim</x:v>
      </x:c>
    </x:row>
    <x:row r="54" ht="118" customHeight="1">
      <x:c r="A54" s="3" t="str">
        <x:v>081</x:v>
      </x:c>
      <x:c r="B54" s="12" t="str">
        <x:v>Ruby Bhogal</x:v>
      </x:c>
      <x:c r="C54" s="3" t="str">
        <x:v>Baking</x:v>
      </x:c>
      <x:c r="D54" s="3" t="str">
        <x:v>B</x:v>
      </x:c>
      <x:c r="E54" s="3" t="str">
        <x:v>29</x:v>
      </x:c>
      <x:c r="F54" s="3" t="str">
        <x:v>2018 Bake Off runner-up.</x:v>
      </x:c>
      <x:c r="G54" s="3" t="str">
        <x:v>Project manager.</x:v>
      </x:c>
      <x:c r="H54" s="14" t="str">
        <x:v>Earlier educational distinction, engineering work and community cooking require audit.</x:v>
      </x:c>
      <x:c r="I54" s="3" t="str">
        <x:v>Competition record: age, result and occupation; no full early-life review</x:v>
      </x:c>
      <x:c r="J54" s="16" t="str">
        <x:v>https://en.wikipedia.org/wiki/The_Great_British_Bake_Off_series_9</x:v>
      </x:c>
      <x:c r="K54" s="16" t="str"/>
      <x:c r="L54" s="16" t="str"/>
      <x:c r="M54" s="3" t="str">
        <x:v>Not cleared for first-excellence claim</x:v>
      </x:c>
    </x:row>
    <x:row r="55" ht="118" customHeight="1">
      <x:c r="A55" s="3" t="str">
        <x:v>082</x:v>
      </x:c>
      <x:c r="B55" s="12" t="str">
        <x:v>Briony Williams</x:v>
      </x:c>
      <x:c r="C55" s="3" t="str">
        <x:v>Baking</x:v>
      </x:c>
      <x:c r="D55" s="3" t="str">
        <x:v>B</x:v>
      </x:c>
      <x:c r="E55" s="3" t="str">
        <x:v>33</x:v>
      </x:c>
      <x:c r="F55" s="3" t="str">
        <x:v>2018 Bake Off semifinalist and Star Baker.</x:v>
      </x:c>
      <x:c r="G55" s="3" t="str">
        <x:v>Stay-at-home parent.</x:v>
      </x:c>
      <x:c r="H55" s="14" t="str">
        <x:v>Reconstruct earlier employment, school and baking results; parenting is context, not evidence of absent capability.</x:v>
      </x:c>
      <x:c r="I55" s="3" t="str">
        <x:v>Competition record: age, result and occupation; no full early-life review</x:v>
      </x:c>
      <x:c r="J55" s="16" t="str">
        <x:v>https://en.wikipedia.org/wiki/The_Great_British_Bake_Off_series_9</x:v>
      </x:c>
      <x:c r="K55" s="16" t="str"/>
      <x:c r="L55" s="16" t="str"/>
      <x:c r="M55" s="3" t="str">
        <x:v>Not cleared for first-excellence claim</x:v>
      </x:c>
    </x:row>
    <x:row r="56" ht="118" customHeight="1">
      <x:c r="A56" s="3" t="str">
        <x:v>083</x:v>
      </x:c>
      <x:c r="B56" s="12" t="str">
        <x:v>Manon Lagrève</x:v>
      </x:c>
      <x:c r="C56" s="3" t="str">
        <x:v>Baking</x:v>
      </x:c>
      <x:c r="D56" s="3" t="str">
        <x:v>B</x:v>
      </x:c>
      <x:c r="E56" s="3" t="str">
        <x:v>26</x:v>
      </x:c>
      <x:c r="F56" s="3" t="str">
        <x:v>2018 Bake Off episode-one Star Baker; fifth overall.</x:v>
      </x:c>
      <x:c r="G56" s="3" t="str">
        <x:v>Software project manager.</x:v>
      </x:c>
      <x:c r="H56" s="14" t="str">
        <x:v>Confirm age during filming, then audit earlier school, sport and professional output.</x:v>
      </x:c>
      <x:c r="I56" s="3" t="str">
        <x:v>Competition record: age, result and occupation; no full early-life review</x:v>
      </x:c>
      <x:c r="J56" s="16" t="str">
        <x:v>https://en.wikipedia.org/wiki/The_Great_British_Bake_Off_series_9</x:v>
      </x:c>
      <x:c r="K56" s="16" t="str"/>
      <x:c r="L56" s="16" t="str"/>
      <x:c r="M56" s="3" t="str">
        <x:v>Not cleared for first-excellence claim</x:v>
      </x:c>
    </x:row>
    <x:row r="57" ht="118" customHeight="1">
      <x:c r="A57" s="3" t="str">
        <x:v>084</x:v>
      </x:c>
      <x:c r="B57" s="12" t="str">
        <x:v>Dan Beasley-Harling</x:v>
      </x:c>
      <x:c r="C57" s="3" t="str">
        <x:v>Baking</x:v>
      </x:c>
      <x:c r="D57" s="3" t="str">
        <x:v>B</x:v>
      </x:c>
      <x:c r="E57" s="3" t="str">
        <x:v>36</x:v>
      </x:c>
      <x:c r="F57" s="3" t="str">
        <x:v>2018 Bake Off episode-four Star Baker.</x:v>
      </x:c>
      <x:c r="G57" s="3" t="str">
        <x:v>Stay-at-home parent.</x:v>
      </x:c>
      <x:c r="H57" s="14" t="str">
        <x:v>Earlier career and any prior judged baking are missing; a childhood hobby would not itself disqualify.</x:v>
      </x:c>
      <x:c r="I57" s="3" t="str">
        <x:v>Competition record: age, result and occupation; no full early-life review</x:v>
      </x:c>
      <x:c r="J57" s="16" t="str">
        <x:v>https://en.wikipedia.org/wiki/The_Great_British_Bake_Off_series_9</x:v>
      </x:c>
      <x:c r="K57" s="16" t="str"/>
      <x:c r="L57" s="16" t="str"/>
      <x:c r="M57" s="3" t="str">
        <x:v>Not cleared for first-excellence claim</x:v>
      </x:c>
    </x:row>
    <x:row r="58" ht="118" customHeight="1">
      <x:c r="A58" s="3" t="str">
        <x:v>085</x:v>
      </x:c>
      <x:c r="B58" s="12" t="str">
        <x:v>David Atherton</x:v>
      </x:c>
      <x:c r="C58" s="3" t="str">
        <x:v>Baking</x:v>
      </x:c>
      <x:c r="D58" s="3" t="str">
        <x:v>B</x:v>
      </x:c>
      <x:c r="E58" s="3" t="str">
        <x:v>36</x:v>
      </x:c>
      <x:c r="F58" s="3" t="str">
        <x:v>Won Bake Off in 2019.</x:v>
      </x:c>
      <x:c r="G58" s="3" t="str">
        <x:v>International health adviser.</x:v>
      </x:c>
      <x:c r="H58" s="14" t="str">
        <x:v>Evaluate earlier nursing and humanitarian work for standout achievements rather than assuming ordinary employment.</x:v>
      </x:c>
      <x:c r="I58" s="3" t="str">
        <x:v>Competition record: age, result and occupation; no full early-life review</x:v>
      </x:c>
      <x:c r="J58" s="16" t="str">
        <x:v>https://en.wikipedia.org/wiki/The_Great_British_Bake_Off_series_10</x:v>
      </x:c>
      <x:c r="K58" s="16" t="str"/>
      <x:c r="L58" s="16" t="str"/>
      <x:c r="M58" s="3" t="str">
        <x:v>Not cleared for first-excellence claim</x:v>
      </x:c>
    </x:row>
    <x:row r="59" ht="118" customHeight="1">
      <x:c r="A59" s="3" t="str">
        <x:v>086</x:v>
      </x:c>
      <x:c r="B59" s="12" t="str">
        <x:v>Alice Fevronia</x:v>
      </x:c>
      <x:c r="C59" s="3" t="str">
        <x:v>Baking</x:v>
      </x:c>
      <x:c r="D59" s="3" t="str">
        <x:v>B</x:v>
      </x:c>
      <x:c r="E59" s="3" t="str">
        <x:v>28</x:v>
      </x:c>
      <x:c r="F59" s="3" t="str">
        <x:v>2019 Bake Off runner-up.</x:v>
      </x:c>
      <x:c r="G59" s="3" t="str">
        <x:v>Geography teacher.</x:v>
      </x:c>
      <x:c r="H59" s="14" t="str">
        <x:v>Check school/university honours and earlier baking competitions; distinguish selective achievement from a teaching qualification.</x:v>
      </x:c>
      <x:c r="I59" s="3" t="str">
        <x:v>Competition record: age, result and occupation; no full early-life review</x:v>
      </x:c>
      <x:c r="J59" s="16" t="str">
        <x:v>https://en.wikipedia.org/wiki/The_Great_British_Bake_Off_series_10</x:v>
      </x:c>
      <x:c r="K59" s="16" t="str"/>
      <x:c r="L59" s="16" t="str"/>
      <x:c r="M59" s="3" t="str">
        <x:v>Not cleared for first-excellence claim</x:v>
      </x:c>
    </x:row>
    <x:row r="60" ht="118" customHeight="1">
      <x:c r="A60" s="3" t="str">
        <x:v>087</x:v>
      </x:c>
      <x:c r="B60" s="12" t="str">
        <x:v>Steph Blackwell</x:v>
      </x:c>
      <x:c r="C60" s="3" t="str">
        <x:v>Baking</x:v>
      </x:c>
      <x:c r="D60" s="3" t="str">
        <x:v>B</x:v>
      </x:c>
      <x:c r="E60" s="3" t="str">
        <x:v>28</x:v>
      </x:c>
      <x:c r="F60" s="3" t="str">
        <x:v>2019 Bake Off runner-up and four-time Star Baker.</x:v>
      </x:c>
      <x:c r="G60" s="3" t="str">
        <x:v>Shop assistant.</x:v>
      </x:c>
      <x:c r="H60" s="14" t="str">
        <x:v>Earlier academic, sporting, musical and local baking distinctions remain unknown; retail work does not prove an unexceptional history.</x:v>
      </x:c>
      <x:c r="I60" s="3" t="str">
        <x:v>Competition record: age, result and occupation; no full early-life review</x:v>
      </x:c>
      <x:c r="J60" s="16" t="str">
        <x:v>https://en.wikipedia.org/wiki/The_Great_British_Bake_Off_series_10</x:v>
      </x:c>
      <x:c r="K60" s="16" t="str"/>
      <x:c r="L60" s="16" t="str"/>
      <x:c r="M60" s="3" t="str">
        <x:v>Not cleared for first-excellence claim</x:v>
      </x:c>
    </x:row>
    <x:row r="61" ht="118" customHeight="1">
      <x:c r="A61" s="3" t="str">
        <x:v>088</x:v>
      </x:c>
      <x:c r="B61" s="12" t="str">
        <x:v>Michael Chakraverty</x:v>
      </x:c>
      <x:c r="C61" s="3" t="str">
        <x:v>Baking</x:v>
      </x:c>
      <x:c r="D61" s="3" t="str">
        <x:v>B</x:v>
      </x:c>
      <x:c r="E61" s="3" t="str">
        <x:v>26</x:v>
      </x:c>
      <x:c r="F61" s="3" t="str">
        <x:v>2019 Bake Off episode-three Star Baker.</x:v>
      </x:c>
      <x:c r="G61" s="3" t="str">
        <x:v>Theatre manager and fitness instructor.</x:v>
      </x:c>
      <x:c r="H61" s="14" t="str">
        <x:v>Investigate earlier theatre performance and fitness credentials; confirm age at the recorded competition.</x:v>
      </x:c>
      <x:c r="I61" s="3" t="str">
        <x:v>Competition record: age, result and occupation; no full early-life review</x:v>
      </x:c>
      <x:c r="J61" s="16" t="str">
        <x:v>https://en.wikipedia.org/wiki/The_Great_British_Bake_Off_series_10</x:v>
      </x:c>
      <x:c r="K61" s="16" t="str"/>
      <x:c r="L61" s="16" t="str"/>
      <x:c r="M61" s="3" t="str">
        <x:v>Not cleared for first-excellence claim</x:v>
      </x:c>
    </x:row>
    <x:row r="62" ht="118" customHeight="1">
      <x:c r="A62" s="3" t="str">
        <x:v>089</x:v>
      </x:c>
      <x:c r="B62" s="12" t="str">
        <x:v>Dave Friday</x:v>
      </x:c>
      <x:c r="C62" s="3" t="str">
        <x:v>Baking</x:v>
      </x:c>
      <x:c r="D62" s="3" t="str">
        <x:v>B</x:v>
      </x:c>
      <x:c r="E62" s="3" t="str">
        <x:v>30</x:v>
      </x:c>
      <x:c r="F62" s="3" t="str">
        <x:v>2020 Bake Off runner-up.</x:v>
      </x:c>
      <x:c r="G62" s="3" t="str">
        <x:v>Armoured security guard.</x:v>
      </x:c>
      <x:c r="H62" s="14" t="str">
        <x:v>Audit school, workplace, sport and earlier local baking achievements before describing this as first excellence.</x:v>
      </x:c>
      <x:c r="I62" s="3" t="str">
        <x:v>Competition record: age, result and occupation; no full early-life review</x:v>
      </x:c>
      <x:c r="J62" s="16" t="str">
        <x:v>https://en.wikipedia.org/wiki/The_Great_British_Bake_Off_series_11</x:v>
      </x:c>
      <x:c r="K62" s="16" t="str"/>
      <x:c r="L62" s="16" t="str"/>
      <x:c r="M62" s="3" t="str">
        <x:v>Not cleared for first-excellence claim</x:v>
      </x:c>
    </x:row>
    <x:row r="63" ht="118" customHeight="1">
      <x:c r="A63" s="3" t="str">
        <x:v>090</x:v>
      </x:c>
      <x:c r="B63" s="12" t="str">
        <x:v>Laura Adlington</x:v>
      </x:c>
      <x:c r="C63" s="3" t="str">
        <x:v>Baking</x:v>
      </x:c>
      <x:c r="D63" s="3" t="str">
        <x:v>B</x:v>
      </x:c>
      <x:c r="E63" s="3" t="str">
        <x:v>31</x:v>
      </x:c>
      <x:c r="F63" s="3" t="str">
        <x:v>2020 Bake Off runner-up.</x:v>
      </x:c>
      <x:c r="G63" s="3" t="str">
        <x:v>Digital manager.</x:v>
      </x:c>
      <x:c r="H63" s="14" t="str">
        <x:v>Earlier digital work and creative outputs may predate baking; require a cross-domain timeline.</x:v>
      </x:c>
      <x:c r="I63" s="3" t="str">
        <x:v>Competition record: age, result and occupation; no full early-life review</x:v>
      </x:c>
      <x:c r="J63" s="16" t="str">
        <x:v>https://en.wikipedia.org/wiki/The_Great_British_Bake_Off_series_11</x:v>
      </x:c>
      <x:c r="K63" s="16" t="str"/>
      <x:c r="L63" s="16" t="str"/>
      <x:c r="M63" s="3" t="str">
        <x:v>Not cleared for first-excellence claim</x:v>
      </x:c>
    </x:row>
    <x:row r="64" ht="118" customHeight="1">
      <x:c r="A64" s="3" t="str">
        <x:v>091</x:v>
      </x:c>
      <x:c r="B64" s="12" t="str">
        <x:v>Hermine Dossou</x:v>
      </x:c>
      <x:c r="C64" s="3" t="str">
        <x:v>Baking</x:v>
      </x:c>
      <x:c r="D64" s="3" t="str">
        <x:v>B</x:v>
      </x:c>
      <x:c r="E64" s="3" t="str">
        <x:v>39</x:v>
      </x:c>
      <x:c r="F64" s="3" t="str">
        <x:v>2020 Bake Off semifinalist.</x:v>
      </x:c>
      <x:c r="G64" s="3" t="str">
        <x:v>Accountant.</x:v>
      </x:c>
      <x:c r="H64" s="14" t="str">
        <x:v>Check exact filming age, earlier accounting distinction and local baking results; near upper age boundary.</x:v>
      </x:c>
      <x:c r="I64" s="3" t="str">
        <x:v>Competition record: age, result and occupation; no full early-life review</x:v>
      </x:c>
      <x:c r="J64" s="16" t="str">
        <x:v>https://en.wikipedia.org/wiki/The_Great_British_Bake_Off_series_11</x:v>
      </x:c>
      <x:c r="K64" s="16" t="str"/>
      <x:c r="L64" s="16" t="str"/>
      <x:c r="M64" s="3" t="str">
        <x:v>Not cleared for first-excellence claim</x:v>
      </x:c>
    </x:row>
    <x:row r="65" ht="118" customHeight="1">
      <x:c r="A65" s="3" t="str">
        <x:v>092</x:v>
      </x:c>
      <x:c r="B65" s="12" t="str">
        <x:v>Abdul Rehman Sharif</x:v>
      </x:c>
      <x:c r="C65" s="3" t="str">
        <x:v>Baking</x:v>
      </x:c>
      <x:c r="D65" s="3" t="str">
        <x:v>B</x:v>
      </x:c>
      <x:c r="E65" s="3" t="str">
        <x:v>29</x:v>
      </x:c>
      <x:c r="F65" s="3" t="str">
        <x:v>2022 Bake Off runner-up.</x:v>
      </x:c>
      <x:c r="G65" s="3" t="str">
        <x:v>Electronics engineer.</x:v>
      </x:c>
      <x:c r="H65" s="14" t="str">
        <x:v>Investigate earlier engineering projects, competitive academic results and any baking awards.</x:v>
      </x:c>
      <x:c r="I65" s="3" t="str">
        <x:v>Competition record: age, result and occupation; no full early-life review</x:v>
      </x:c>
      <x:c r="J65" s="16" t="str">
        <x:v>https://en.wikipedia.org/wiki/The_Great_British_Bake_Off_series_13</x:v>
      </x:c>
      <x:c r="K65" s="16" t="str"/>
      <x:c r="L65" s="16" t="str"/>
      <x:c r="M65" s="3" t="str">
        <x:v>Not cleared for first-excellence claim</x:v>
      </x:c>
    </x:row>
    <x:row r="66" ht="118" customHeight="1">
      <x:c r="A66" s="3" t="str">
        <x:v>093</x:v>
      </x:c>
      <x:c r="B66" s="12" t="str">
        <x:v>Janusz Domagala</x:v>
      </x:c>
      <x:c r="C66" s="3" t="str">
        <x:v>Baking</x:v>
      </x:c>
      <x:c r="D66" s="3" t="str">
        <x:v>B</x:v>
      </x:c>
      <x:c r="E66" s="3" t="str">
        <x:v>34</x:v>
      </x:c>
      <x:c r="F66" s="3" t="str">
        <x:v>2022 Bake Off semifinalist and two-time Star Baker.</x:v>
      </x:c>
      <x:c r="G66" s="3" t="str">
        <x:v>Personal assistant to a head teacher.</x:v>
      </x:c>
      <x:c r="H66" s="14" t="str">
        <x:v>Reconstruct Polish and UK school/work histories and earlier creative competitions.</x:v>
      </x:c>
      <x:c r="I66" s="3" t="str">
        <x:v>Competition record: age, result and occupation; no full early-life review</x:v>
      </x:c>
      <x:c r="J66" s="16" t="str">
        <x:v>https://en.wikipedia.org/wiki/The_Great_British_Bake_Off_series_13</x:v>
      </x:c>
      <x:c r="K66" s="16" t="str"/>
      <x:c r="L66" s="16" t="str"/>
      <x:c r="M66" s="3" t="str">
        <x:v>Not cleared for first-excellence claim</x:v>
      </x:c>
    </x:row>
    <x:row r="67" ht="118" customHeight="1">
      <x:c r="A67" s="3" t="str">
        <x:v>094</x:v>
      </x:c>
      <x:c r="B67" s="12" t="str">
        <x:v>Marie-Therese Maxy Maligisa</x:v>
      </x:c>
      <x:c r="C67" s="3" t="str">
        <x:v>Baking</x:v>
      </x:c>
      <x:c r="D67" s="3" t="str">
        <x:v>B</x:v>
      </x:c>
      <x:c r="E67" s="3" t="str">
        <x:v>29</x:v>
      </x:c>
      <x:c r="F67" s="3" t="str">
        <x:v>2022 Bake Off fifth-place finisher; Star Baker in episodes two and four.</x:v>
      </x:c>
      <x:c r="G67" s="3" t="str">
        <x:v>Architectural assistant.</x:v>
      </x:c>
      <x:c r="H67" s="14" t="str">
        <x:v>Check earlier architecture/design awards or selective commissions and clarify earliest paid baking.</x:v>
      </x:c>
      <x:c r="I67" s="3" t="str">
        <x:v>Competition record: age, result and occupation; no full early-life review</x:v>
      </x:c>
      <x:c r="J67" s="16" t="str">
        <x:v>https://en.wikipedia.org/wiki/The_Great_British_Bake_Off_series_13</x:v>
      </x:c>
      <x:c r="K67" s="16" t="str"/>
      <x:c r="L67" s="16" t="str"/>
      <x:c r="M67" s="3" t="str">
        <x:v>Not cleared for first-excellence claim</x:v>
      </x:c>
    </x:row>
    <x:row r="68" ht="118" customHeight="1">
      <x:c r="A68" s="3" t="str">
        <x:v>096</x:v>
      </x:c>
      <x:c r="B68" s="12" t="str">
        <x:v>Matty Edgell</x:v>
      </x:c>
      <x:c r="C68" s="3" t="str">
        <x:v>Baking</x:v>
      </x:c>
      <x:c r="D68" s="3" t="str">
        <x:v>B</x:v>
      </x:c>
      <x:c r="E68" s="3" t="str">
        <x:v>28</x:v>
      </x:c>
      <x:c r="F68" s="3" t="str">
        <x:v>Won Bake Off in 2023.</x:v>
      </x:c>
      <x:c r="G68" s="3" t="str">
        <x:v>PE and science teacher.</x:v>
      </x:c>
      <x:c r="H68" s="14" t="str">
        <x:v>Explicitly check youth and university sport, not merely previous baking competitions.</x:v>
      </x:c>
      <x:c r="I68" s="3" t="str">
        <x:v>Competition record: age, result and occupation; no full early-life review</x:v>
      </x:c>
      <x:c r="J68" s="16" t="str">
        <x:v>https://en.wikipedia.org/wiki/The_Great_British_Bake_Off_series_14</x:v>
      </x:c>
      <x:c r="K68" s="16" t="str"/>
      <x:c r="L68" s="16" t="str"/>
      <x:c r="M68" s="3" t="str">
        <x:v>Not cleared for first-excellence claim</x:v>
      </x:c>
    </x:row>
    <x:row r="69" ht="118" customHeight="1">
      <x:c r="A69" s="3" t="str">
        <x:v>097</x:v>
      </x:c>
      <x:c r="B69" s="12" t="str">
        <x:v>Tasha Stones</x:v>
      </x:c>
      <x:c r="C69" s="3" t="str">
        <x:v>Baking</x:v>
      </x:c>
      <x:c r="D69" s="3" t="str">
        <x:v>B</x:v>
      </x:c>
      <x:c r="E69" s="3" t="str">
        <x:v>27</x:v>
      </x:c>
      <x:c r="F69" s="3" t="str">
        <x:v>2023 Bake Off semifinalist; Star Baker in episodes two and three.</x:v>
      </x:c>
      <x:c r="G69" s="3" t="str">
        <x:v>Charity participation officer.</x:v>
      </x:c>
      <x:c r="H69" s="14" t="str">
        <x:v>Audit school, arts, sport and earlier professional achievements; disability is not evidence about achievement history.</x:v>
      </x:c>
      <x:c r="I69" s="3" t="str">
        <x:v>Competition record: age, result and occupation; no full early-life review</x:v>
      </x:c>
      <x:c r="J69" s="16" t="str">
        <x:v>https://en.wikipedia.org/wiki/The_Great_British_Bake_Off_series_14</x:v>
      </x:c>
      <x:c r="K69" s="16" t="str"/>
      <x:c r="L69" s="16" t="str"/>
      <x:c r="M69" s="3" t="str">
        <x:v>Not cleared for first-excellence claim</x:v>
      </x:c>
    </x:row>
    <x:row r="70" ht="118" customHeight="1">
      <x:c r="A70" s="3" t="str">
        <x:v>098</x:v>
      </x:c>
      <x:c r="B70" s="12" t="str">
        <x:v>Matt Sinclair</x:v>
      </x:c>
      <x:c r="C70" s="3" t="str">
        <x:v>Cooking</x:v>
      </x:c>
      <x:c r="D70" s="3" t="str">
        <x:v>B</x:v>
      </x:c>
      <x:c r="E70" s="3" t="str">
        <x:v>27</x:v>
      </x:c>
      <x:c r="F70" s="3" t="str">
        <x:v>2016 MasterChef Australia runner-up.</x:v>
      </x:c>
      <x:c r="G70" s="3" t="str">
        <x:v>Coffee roaster.</x:v>
      </x:c>
      <x:c r="H70" s="14" t="str">
        <x:v>Evaluate earlier professional coffee results, hospitality competitions and academic/sporting distinctions.</x:v>
      </x:c>
      <x:c r="I70" s="3" t="str">
        <x:v>Competition record: age, result and occupation; no full early-life review</x:v>
      </x:c>
      <x:c r="J70" s="16" t="str">
        <x:v>https://en.wikipedia.org/wiki/MasterChef_Australia_series_8</x:v>
      </x:c>
      <x:c r="K70" s="16" t="str"/>
      <x:c r="L70" s="16" t="str"/>
      <x:c r="M70" s="3" t="str">
        <x:v>Not cleared for first-excellence claim</x:v>
      </x:c>
    </x:row>
    <x:row r="71" ht="118" customHeight="1">
      <x:c r="A71" s="3" t="str">
        <x:v>099</x:v>
      </x:c>
      <x:c r="B71" s="12" t="str">
        <x:v>Elise Franciskovic</x:v>
      </x:c>
      <x:c r="C71" s="3" t="str">
        <x:v>Cooking</x:v>
      </x:c>
      <x:c r="D71" s="3" t="str">
        <x:v>B</x:v>
      </x:c>
      <x:c r="E71" s="3" t="str">
        <x:v>28</x:v>
      </x:c>
      <x:c r="F71" s="3" t="str">
        <x:v>Fourth in MasterChef Australia in 2016.</x:v>
      </x:c>
      <x:c r="G71" s="3" t="str">
        <x:v>Pharmacy technician.</x:v>
      </x:c>
      <x:c r="H71" s="14" t="str">
        <x:v>Check earlier culinary contests, school distinctions and technical workplace achievement.</x:v>
      </x:c>
      <x:c r="I71" s="3" t="str">
        <x:v>Competition record: age, result and occupation; no full early-life review</x:v>
      </x:c>
      <x:c r="J71" s="16" t="str">
        <x:v>https://en.wikipedia.org/wiki/MasterChef_Australia_series_8</x:v>
      </x:c>
      <x:c r="K71" s="16" t="str"/>
      <x:c r="L71" s="16" t="str"/>
      <x:c r="M71" s="3" t="str">
        <x:v>Not cleared for first-excellence claim</x:v>
      </x:c>
    </x:row>
    <x:row r="72" ht="118" customHeight="1">
      <x:c r="A72" s="3" t="str">
        <x:v>100</x:v>
      </x:c>
      <x:c r="B72" s="12" t="str">
        <x:v>Mimi Baines</x:v>
      </x:c>
      <x:c r="C72" s="3" t="str">
        <x:v>Cooking</x:v>
      </x:c>
      <x:c r="D72" s="3" t="str">
        <x:v>B</x:v>
      </x:c>
      <x:c r="E72" s="3" t="str">
        <x:v>26</x:v>
      </x:c>
      <x:c r="F72" s="3" t="str">
        <x:v>Fifth in MasterChef Australia in 2016.</x:v>
      </x:c>
      <x:c r="G72" s="3" t="str">
        <x:v>Product manager.</x:v>
      </x:c>
      <x:c r="H72" s="14" t="str">
        <x:v>Confirm age during judging and audit earlier product work, education and competitive hobbies.</x:v>
      </x:c>
      <x:c r="I72" s="3" t="str">
        <x:v>Competition record: age, result and occupation; no full early-life review</x:v>
      </x:c>
      <x:c r="J72" s="16" t="str">
        <x:v>https://en.wikipedia.org/wiki/MasterChef_Australia_series_8</x:v>
      </x:c>
      <x:c r="K72" s="16" t="str"/>
      <x:c r="L72" s="16" t="str"/>
      <x:c r="M72" s="3" t="str">
        <x:v>Not cleared for first-excellence claim</x:v>
      </x:c>
    </x:row>
    <x:row r="73" ht="118" customHeight="1">
      <x:c r="A73" s="3" t="str">
        <x:v>101</x:v>
      </x:c>
      <x:c r="B73" s="12" t="str">
        <x:v>Trent Harvey</x:v>
      </x:c>
      <x:c r="C73" s="3" t="str">
        <x:v>Cooking</x:v>
      </x:c>
      <x:c r="D73" s="3" t="str">
        <x:v>B</x:v>
      </x:c>
      <x:c r="E73" s="3" t="str">
        <x:v>29</x:v>
      </x:c>
      <x:c r="F73" s="3" t="str">
        <x:v>Sixth in MasterChef Australia in 2016.</x:v>
      </x:c>
      <x:c r="G73" s="3" t="str">
        <x:v>Electrician.</x:v>
      </x:c>
      <x:c r="H73" s="14" t="str">
        <x:v>Retrieve individual judged challenge results to strengthen the performance claim; audit apprenticeship/trade and sporting awards.</x:v>
      </x:c>
      <x:c r="I73" s="3" t="str">
        <x:v>Competition record: age, result and occupation; no full early-life review</x:v>
      </x:c>
      <x:c r="J73" s="16" t="str">
        <x:v>https://en.wikipedia.org/wiki/MasterChef_Australia_series_8</x:v>
      </x:c>
      <x:c r="K73" s="16" t="str"/>
      <x:c r="L73" s="16" t="str"/>
      <x:c r="M73" s="3" t="str">
        <x:v>Not cleared for first-excellence claim</x:v>
      </x:c>
    </x:row>
    <x:row r="74" ht="118" customHeight="1">
      <x:c r="A74" s="3" t="str">
        <x:v>102</x:v>
      </x:c>
      <x:c r="B74" s="12" t="str">
        <x:v>Elena Duggan</x:v>
      </x:c>
      <x:c r="C74" s="3" t="str">
        <x:v>Cooking</x:v>
      </x:c>
      <x:c r="D74" s="3" t="str">
        <x:v>B</x:v>
      </x:c>
      <x:c r="E74" s="3" t="str">
        <x:v>32</x:v>
      </x:c>
      <x:c r="F74" s="3" t="str">
        <x:v>Won MasterChef Australia in 2016.</x:v>
      </x:c>
      <x:c r="G74" s="3" t="str">
        <x:v>Teacher.</x:v>
      </x:c>
      <x:c r="H74" s="14" t="str">
        <x:v>School leadership, academic results and earlier arts/cooking achievements need checking; leadership title alone is not decisive.</x:v>
      </x:c>
      <x:c r="I74" s="3" t="str">
        <x:v>Competition record: age, result and occupation; no full early-life review</x:v>
      </x:c>
      <x:c r="J74" s="16" t="str">
        <x:v>https://en.wikipedia.org/wiki/MasterChef_Australia_series_8</x:v>
      </x:c>
      <x:c r="K74" s="16" t="str"/>
      <x:c r="L74" s="16" t="str"/>
      <x:c r="M74" s="3" t="str">
        <x:v>Not cleared for first-excellence claim</x:v>
      </x:c>
    </x:row>
    <x:row r="75" ht="118" customHeight="1">
      <x:c r="A75" s="3" t="str">
        <x:v>103</x:v>
      </x:c>
      <x:c r="B75" s="12" t="str">
        <x:v>Ben Borsht</x:v>
      </x:c>
      <x:c r="C75" s="3" t="str">
        <x:v>Cooking</x:v>
      </x:c>
      <x:c r="D75" s="3" t="str">
        <x:v>B</x:v>
      </x:c>
      <x:c r="E75" s="3" t="str">
        <x:v>31</x:v>
      </x:c>
      <x:c r="F75" s="3" t="str">
        <x:v>2018 MasterChef Australia runner-up.</x:v>
      </x:c>
      <x:c r="G75" s="3" t="str">
        <x:v>Builder.</x:v>
      </x:c>
      <x:c r="H75" s="14" t="str">
        <x:v>Verify spelling against broadcaster biography; check trade distinction and any earlier cooking contests.</x:v>
      </x:c>
      <x:c r="I75" s="3" t="str">
        <x:v>Competition record: age, result and occupation; no full early-life review</x:v>
      </x:c>
      <x:c r="J75" s="16" t="str">
        <x:v>https://en.wikipedia.org/wiki/MasterChef_Australia_series_10</x:v>
      </x:c>
      <x:c r="K75" s="16" t="str"/>
      <x:c r="L75" s="16" t="str"/>
      <x:c r="M75" s="3" t="str">
        <x:v>Not cleared for first-excellence claim</x:v>
      </x:c>
    </x:row>
    <x:row r="76" ht="118" customHeight="1">
      <x:c r="A76" s="3" t="str">
        <x:v>104</x:v>
      </x:c>
      <x:c r="B76" s="12" t="str">
        <x:v>Chloe Carroll</x:v>
      </x:c>
      <x:c r="C76" s="3" t="str">
        <x:v>Cooking</x:v>
      </x:c>
      <x:c r="D76" s="3" t="str">
        <x:v>B</x:v>
      </x:c>
      <x:c r="E76" s="3" t="str">
        <x:v>28</x:v>
      </x:c>
      <x:c r="F76" s="3" t="str">
        <x:v>Fifth in MasterChef Australia in 2018.</x:v>
      </x:c>
      <x:c r="G76" s="3" t="str">
        <x:v>Nutritionist.</x:v>
      </x:c>
      <x:c r="H76" s="14" t="str">
        <x:v>Audit professional nutrition work and earlier academic/cooking awards; locate first strong individual challenge result.</x:v>
      </x:c>
      <x:c r="I76" s="3" t="str">
        <x:v>Competition record: age, result and occupation; no full early-life review</x:v>
      </x:c>
      <x:c r="J76" s="16" t="str">
        <x:v>https://en.wikipedia.org/wiki/MasterChef_Australia_series_10</x:v>
      </x:c>
      <x:c r="K76" s="16" t="str"/>
      <x:c r="L76" s="16" t="str"/>
      <x:c r="M76" s="3" t="str">
        <x:v>Not cleared for first-excellence claim</x:v>
      </x:c>
    </x:row>
    <x:row r="77" ht="118" customHeight="1">
      <x:c r="A77" s="3" t="str">
        <x:v>105</x:v>
      </x:c>
      <x:c r="B77" s="12" t="str">
        <x:v>Reece Hignell</x:v>
      </x:c>
      <x:c r="C77" s="3" t="str">
        <x:v>Cooking</x:v>
      </x:c>
      <x:c r="D77" s="3" t="str">
        <x:v>B</x:v>
      </x:c>
      <x:c r="E77" s="3" t="str">
        <x:v>28</x:v>
      </x:c>
      <x:c r="F77" s="3" t="str">
        <x:v>Sixth in MasterChef Australia in 2018.</x:v>
      </x:c>
      <x:c r="G77" s="3" t="str">
        <x:v>Recruitment consultant.</x:v>
      </x:c>
      <x:c r="H77" s="14" t="str">
        <x:v>Earlier hospitality experience and cooking recognition need dating; contest-table age is used rather than later return age.</x:v>
      </x:c>
      <x:c r="I77" s="3" t="str">
        <x:v>Competition record: age, result and occupation; no full early-life review</x:v>
      </x:c>
      <x:c r="J77" s="16" t="str">
        <x:v>https://en.wikipedia.org/wiki/MasterChef_Australia_series_10</x:v>
      </x:c>
      <x:c r="K77" s="16" t="str"/>
      <x:c r="L77" s="16" t="str"/>
      <x:c r="M77" s="3" t="str">
        <x:v>Not cleared for first-excellence claim</x:v>
      </x:c>
    </x:row>
    <x:row r="78" ht="118" customHeight="1">
      <x:c r="A78" s="3" t="str">
        <x:v>106</x:v>
      </x:c>
      <x:c r="B78" s="12" t="str">
        <x:v>Sarah Tiong</x:v>
      </x:c>
      <x:c r="C78" s="3" t="str">
        <x:v>Cooking</x:v>
      </x:c>
      <x:c r="D78" s="3" t="str">
        <x:v>B</x:v>
      </x:c>
      <x:c r="E78" s="3" t="str">
        <x:v>26</x:v>
      </x:c>
      <x:c r="F78" s="3" t="str">
        <x:v>Sixth in MasterChef Australia in 2017.</x:v>
      </x:c>
      <x:c r="G78" s="3" t="str">
        <x:v>Risk consultant.</x:v>
      </x:c>
      <x:c r="H78" s="14" t="str">
        <x:v>Confirm filming age and investigate earlier academic/legal performance and judged food work.</x:v>
      </x:c>
      <x:c r="I78" s="3" t="str">
        <x:v>Competition record: age, result and occupation; no full early-life review</x:v>
      </x:c>
      <x:c r="J78" s="16" t="str">
        <x:v>https://en.wikipedia.org/wiki/MasterChef_Australia_series_9</x:v>
      </x:c>
      <x:c r="K78" s="16" t="str"/>
      <x:c r="L78" s="16" t="str"/>
      <x:c r="M78" s="3" t="str">
        <x:v>Not cleared for first-excellence claim</x:v>
      </x:c>
    </x:row>
    <x:row r="79" ht="118" customHeight="1">
      <x:c r="A79" s="3" t="str">
        <x:v>107</x:v>
      </x:c>
      <x:c r="B79" s="12" t="str">
        <x:v>Julia Taylor</x:v>
      </x:c>
      <x:c r="C79" s="3" t="str">
        <x:v>Cooking</x:v>
      </x:c>
      <x:c r="D79" s="3" t="str">
        <x:v>B</x:v>
      </x:c>
      <x:c r="E79" s="3" t="str">
        <x:v>26</x:v>
      </x:c>
      <x:c r="F79" s="3" t="str">
        <x:v>2012 MasterChef Australia runner-up.</x:v>
      </x:c>
      <x:c r="G79" s="3" t="str">
        <x:v>Legal secretary.</x:v>
      </x:c>
      <x:c r="H79" s="14" t="str">
        <x:v>Audit earlier local cooking competitions and school/work distinctions; resolve exact age at first judged selection.</x:v>
      </x:c>
      <x:c r="I79" s="3" t="str">
        <x:v>Competition record: age, result and occupation; no full early-life review</x:v>
      </x:c>
      <x:c r="J79" s="16" t="str">
        <x:v>https://en.wikipedia.org/wiki/MasterChef_Australia_series_4</x:v>
      </x:c>
      <x:c r="K79" s="16" t="str"/>
      <x:c r="L79" s="16" t="str"/>
      <x:c r="M79" s="3" t="str">
        <x:v>Not cleared for first-excellence claim</x:v>
      </x:c>
    </x:row>
    <x:row r="80" ht="118" customHeight="1">
      <x:c r="A80" s="3" t="str">
        <x:v>108</x:v>
      </x:c>
      <x:c r="B80" s="12" t="str">
        <x:v>Mindy Woods</x:v>
      </x:c>
      <x:c r="C80" s="3" t="str">
        <x:v>Cooking</x:v>
      </x:c>
      <x:c r="D80" s="3" t="str">
        <x:v>B</x:v>
      </x:c>
      <x:c r="E80" s="3" t="str">
        <x:v>30</x:v>
      </x:c>
      <x:c r="F80" s="3" t="str">
        <x:v>Fourth in MasterChef Australia in 2012.</x:v>
      </x:c>
      <x:c r="G80" s="3" t="str">
        <x:v>Physiotherapist.</x:v>
      </x:c>
      <x:c r="H80" s="14" t="str">
        <x:v>Check earlier sports participation and clinical/academic distinctions; a professional qualification alone is not automatic exclusion.</x:v>
      </x:c>
      <x:c r="I80" s="3" t="str">
        <x:v>Competition record: age, result and occupation; no full early-life review</x:v>
      </x:c>
      <x:c r="J80" s="16" t="str">
        <x:v>https://en.wikipedia.org/wiki/MasterChef_Australia_series_4</x:v>
      </x:c>
      <x:c r="K80" s="16" t="str"/>
      <x:c r="L80" s="16" t="str"/>
      <x:c r="M80" s="3" t="str">
        <x:v>Not cleared for first-excellence claim</x:v>
      </x:c>
    </x:row>
    <x:row r="81" ht="118" customHeight="1">
      <x:c r="A81" s="3" t="str">
        <x:v>109</x:v>
      </x:c>
      <x:c r="B81" s="12" t="str">
        <x:v>Ben Milbourne</x:v>
      </x:c>
      <x:c r="C81" s="3" t="str">
        <x:v>Cooking</x:v>
      </x:c>
      <x:c r="D81" s="3" t="str">
        <x:v>B</x:v>
      </x:c>
      <x:c r="E81" s="3" t="str">
        <x:v>30</x:v>
      </x:c>
      <x:c r="F81" s="3" t="str">
        <x:v>Fifth in MasterChef Australia in 2012.</x:v>
      </x:c>
      <x:c r="G81" s="3" t="str">
        <x:v>Secondary-school teacher.</x:v>
      </x:c>
      <x:c r="H81" s="14" t="str">
        <x:v>Audit earlier teaching awards, academic performance, sport and local cooking.</x:v>
      </x:c>
      <x:c r="I81" s="3" t="str">
        <x:v>Competition record: age, result and occupation; no full early-life review</x:v>
      </x:c>
      <x:c r="J81" s="16" t="str">
        <x:v>https://en.wikipedia.org/wiki/MasterChef_Australia_series_4</x:v>
      </x:c>
      <x:c r="K81" s="16" t="str"/>
      <x:c r="L81" s="16" t="str"/>
      <x:c r="M81" s="3" t="str">
        <x:v>Not cleared for first-excellence claim</x:v>
      </x:c>
    </x:row>
    <x:row r="82" ht="118" customHeight="1">
      <x:c r="A82" s="3" t="str">
        <x:v>110</x:v>
      </x:c>
      <x:c r="B82" s="12" t="str">
        <x:v>Georgia Barnes</x:v>
      </x:c>
      <x:c r="C82" s="3" t="str">
        <x:v>Cooking</x:v>
      </x:c>
      <x:c r="D82" s="3" t="str">
        <x:v>B</x:v>
      </x:c>
      <x:c r="E82" s="3" t="str">
        <x:v>27</x:v>
      </x:c>
      <x:c r="F82" s="3" t="str">
        <x:v>2015 MasterChef Australia runner-up.</x:v>
      </x:c>
      <x:c r="G82" s="3" t="str">
        <x:v>Health-product representative.</x:v>
      </x:c>
      <x:c r="H82" s="14" t="str">
        <x:v>Do not merge with the musician of the same name. Earlier nutrition work, study and competitive hobbies need audit.</x:v>
      </x:c>
      <x:c r="I82" s="3" t="str">
        <x:v>Competition record: age, result and occupation; no full early-life review</x:v>
      </x:c>
      <x:c r="J82" s="16" t="str">
        <x:v>https://en.wikipedia.org/wiki/MasterChef_Australia_series_7</x:v>
      </x:c>
      <x:c r="K82" s="16" t="str"/>
      <x:c r="L82" s="16" t="str"/>
      <x:c r="M82" s="3" t="str">
        <x:v>Not cleared for first-excellence claim</x:v>
      </x:c>
    </x:row>
    <x:row r="83" ht="118" customHeight="1">
      <x:c r="A83" s="3" t="str">
        <x:v>111</x:v>
      </x:c>
      <x:c r="B83" s="12" t="str">
        <x:v>Jessica Arnott</x:v>
      </x:c>
      <x:c r="C83" s="3" t="str">
        <x:v>Cooking</x:v>
      </x:c>
      <x:c r="D83" s="3" t="str">
        <x:v>B</x:v>
      </x:c>
      <x:c r="E83" s="3" t="str">
        <x:v>29</x:v>
      </x:c>
      <x:c r="F83" s="3" t="str">
        <x:v>Third in MasterChef Australia in 2015.</x:v>
      </x:c>
      <x:c r="G83" s="3" t="str">
        <x:v>Food-sales assistant.</x:v>
      </x:c>
      <x:c r="H83" s="14" t="str">
        <x:v>Earlier hospitality or cooking recognition may precede the show; check independently rather than equating amateur with novice.</x:v>
      </x:c>
      <x:c r="I83" s="3" t="str">
        <x:v>Competition record: age, result and occupation; no full early-life review</x:v>
      </x:c>
      <x:c r="J83" s="16" t="str">
        <x:v>https://en.wikipedia.org/wiki/MasterChef_Australia_series_7</x:v>
      </x:c>
      <x:c r="K83" s="16" t="str"/>
      <x:c r="L83" s="16" t="str"/>
      <x:c r="M83" s="3" t="str">
        <x:v>Not cleared for first-excellence claim</x:v>
      </x:c>
    </x:row>
    <x:row r="84" ht="118" customHeight="1">
      <x:c r="A84" s="3" t="str">
        <x:v>112</x:v>
      </x:c>
      <x:c r="B84" s="12" t="str">
        <x:v>Tessa Boersma</x:v>
      </x:c>
      <x:c r="C84" s="3" t="str">
        <x:v>Cooking</x:v>
      </x:c>
      <x:c r="D84" s="3" t="str">
        <x:v>B</x:v>
      </x:c>
      <x:c r="E84" s="3" t="str">
        <x:v>27</x:v>
      </x:c>
      <x:c r="F84" s="3" t="str">
        <x:v>2019 MasterChef Australia runner-up.</x:v>
      </x:c>
      <x:c r="G84" s="3" t="str">
        <x:v>Criminal statistician.</x:v>
      </x:c>
      <x:c r="H84" s="14" t="str">
        <x:v>Investigate earlier academic and statistical achievements and date previous cooking validation.</x:v>
      </x:c>
      <x:c r="I84" s="3" t="str">
        <x:v>Competition record: age, result and occupation; no full early-life review</x:v>
      </x:c>
      <x:c r="J84" s="16" t="str">
        <x:v>https://en.wikipedia.org/wiki/MasterChef_Australia_series_11</x:v>
      </x:c>
      <x:c r="K84" s="16" t="str"/>
      <x:c r="L84" s="16" t="str"/>
      <x:c r="M84" s="3" t="str">
        <x:v>Not cleared for first-excellence claim</x:v>
      </x:c>
    </x:row>
    <x:row r="85" ht="118" customHeight="1">
      <x:c r="A85" s="3" t="str">
        <x:v>114</x:v>
      </x:c>
      <x:c r="B85" s="12" t="str">
        <x:v>Tim Bone</x:v>
      </x:c>
      <x:c r="C85" s="3" t="str">
        <x:v>Cooking</x:v>
      </x:c>
      <x:c r="D85" s="3" t="str">
        <x:v>B</x:v>
      </x:c>
      <x:c r="E85" s="3" t="str">
        <x:v>33</x:v>
      </x:c>
      <x:c r="F85" s="3" t="str">
        <x:v>Fourth in MasterChef Australia in 2019.</x:v>
      </x:c>
      <x:c r="G85" s="3" t="str">
        <x:v>Cooking and gardening educator.</x:v>
      </x:c>
      <x:c r="H85" s="14" t="str">
        <x:v>Earlier paid cooking education needs scrutiny: identify whether it already involved externally demonstrated excellence and at what age.</x:v>
      </x:c>
      <x:c r="I85" s="3" t="str">
        <x:v>Competition record: age, result and occupation; no full early-life review</x:v>
      </x:c>
      <x:c r="J85" s="16" t="str">
        <x:v>https://en.wikipedia.org/wiki/MasterChef_Australia_series_11</x:v>
      </x:c>
      <x:c r="K85" s="16" t="str"/>
      <x:c r="L85" s="16" t="str"/>
      <x:c r="M85" s="3" t="str">
        <x:v>Not cleared for first-excellence claim</x:v>
      </x:c>
    </x:row>
    <x:row r="86" ht="118" customHeight="1">
      <x:c r="A86" s="3" t="str">
        <x:v>115</x:v>
      </x:c>
      <x:c r="B86" s="12" t="str">
        <x:v>Elise Pulbrook</x:v>
      </x:c>
      <x:c r="C86" s="3" t="str">
        <x:v>Cooking</x:v>
      </x:c>
      <x:c r="D86" s="3" t="str">
        <x:v>B</x:v>
      </x:c>
      <x:c r="E86" s="3" t="str">
        <x:v>28</x:v>
      </x:c>
      <x:c r="F86" s="3" t="str">
        <x:v>Fourth in MasterChef Australia in 2021.</x:v>
      </x:c>
      <x:c r="G86" s="3" t="str">
        <x:v>Lawyer.</x:v>
      </x:c>
      <x:c r="H86" s="14" t="str">
        <x:v>Audit academic/legal distinctions and earlier culinary competitions; law practice is neither automatic excellence nor evidence of its absence.</x:v>
      </x:c>
      <x:c r="I86" s="3" t="str">
        <x:v>Competition record: age, result and occupation; no full early-life review</x:v>
      </x:c>
      <x:c r="J86" s="16" t="str">
        <x:v>https://en.wikipedia.org/wiki/MasterChef_Australia_series_13</x:v>
      </x:c>
      <x:c r="K86" s="16" t="str"/>
      <x:c r="L86" s="16" t="str"/>
      <x:c r="M86" s="3" t="str">
        <x:v>Not cleared for first-excellence claim</x:v>
      </x:c>
    </x:row>
    <x:row r="87" ht="118" customHeight="1">
      <x:c r="A87" s="3" t="str">
        <x:v>116</x:v>
      </x:c>
      <x:c r="B87" s="12" t="str">
        <x:v>Linda Dalrymple</x:v>
      </x:c>
      <x:c r="C87" s="3" t="str">
        <x:v>Cooking</x:v>
      </x:c>
      <x:c r="D87" s="3" t="str">
        <x:v>B</x:v>
      </x:c>
      <x:c r="E87" s="3" t="str">
        <x:v>38</x:v>
      </x:c>
      <x:c r="F87" s="3" t="str">
        <x:v>Fifth in MasterChef Australia in 2021.</x:v>
      </x:c>
      <x:c r="G87" s="3" t="str">
        <x:v>Stay-at-home mother.</x:v>
      </x:c>
      <x:c r="H87" s="14" t="str">
        <x:v>Reconstruct school, employment and regional cooking history, including any earlier commercial work.</x:v>
      </x:c>
      <x:c r="I87" s="3" t="str">
        <x:v>Competition record: age, result and occupation; no full early-life review</x:v>
      </x:c>
      <x:c r="J87" s="16" t="str">
        <x:v>https://en.wikipedia.org/wiki/MasterChef_Australia_series_13</x:v>
      </x:c>
      <x:c r="K87" s="16" t="str"/>
      <x:c r="L87" s="16" t="str"/>
      <x:c r="M87" s="3" t="str">
        <x:v>Not cleared for first-excellence claim</x:v>
      </x:c>
    </x:row>
    <x:row r="88" ht="118" customHeight="1">
      <x:c r="A88" s="3" t="str">
        <x:v>119</x:v>
      </x:c>
      <x:c r="B88" s="12" t="str">
        <x:v>Tom Rhodes</x:v>
      </x:c>
      <x:c r="C88" s="3" t="str">
        <x:v>Cooking</x:v>
      </x:c>
      <x:c r="D88" s="3" t="str">
        <x:v>B</x:v>
      </x:c>
      <x:c r="E88" s="3" t="str">
        <x:v>31</x:v>
      </x:c>
      <x:c r="F88" s="3" t="str">
        <x:v>Won MasterChef UK in 2021.</x:v>
      </x:c>
      <x:c r="G88" s="3" t="str">
        <x:v>Nando’s front-of-house assistant manager.</x:v>
      </x:c>
      <x:c r="H88" s="14" t="str">
        <x:v>Audit earlier hospitality awards, academic record and amateur cooking contests; restaurant employment is relevant practice, not automatic disqualification.</x:v>
      </x:c>
      <x:c r="I88" s="3" t="str">
        <x:v>Biographical desk screen; incomplete pre-26 coverage</x:v>
      </x:c>
      <x:c r="J88" s="16" t="str">
        <x:v>https://www.heart.co.uk/showbiz/tv-movies/who-chef-tom-rhodes-masterchef-winner-2021/</x:v>
      </x:c>
      <x:c r="K88" s="16" t="str">
        <x:v>https://www.womanandhome.com/life/news-entertainment/masterchef-has-crowned-former-nandos-worker-tom-rhodes-winner-of-the-2021-bbc-series/</x:v>
      </x:c>
      <x:c r="L88" s="16" t="str"/>
      <x:c r="M88" s="3" t="str">
        <x:v>Not cleared for first-excellence claim</x:v>
      </x:c>
    </x:row>
    <x:row r="89" ht="118" customHeight="1">
      <x:c r="A89" s="3" t="str">
        <x:v>120</x:v>
      </x:c>
      <x:c r="B89" s="12" t="str">
        <x:v>Lee Mack</x:v>
      </x:c>
      <x:c r="C89" s="3" t="str">
        <x:v>Comedy</x:v>
      </x:c>
      <x:c r="D89" s="3" t="str">
        <x:v>B</x:v>
      </x:c>
      <x:c r="E89" s="3" t="str">
        <x:v>27</x:v>
      </x:c>
      <x:c r="F89" s="3" t="str">
        <x:v>Won So You Think You’re Funny? in 1995.</x:v>
      </x:c>
      <x:c r="G89" s="3" t="str">
        <x:v>Earlier stable and bar work; began open-mic performance in 1994.</x:v>
      </x:c>
      <x:c r="H89" s="14" t="str">
        <x:v>Check school/holiday-entertainment performance and whether earlier paid stage work crossed the threshold before 26.</x:v>
      </x:c>
      <x:c r="I89" s="3" t="str">
        <x:v>Biographical desk screen; incomplete pre-26 coverage</x:v>
      </x:c>
      <x:c r="J89" s="16" t="str">
        <x:v>https://en.wikipedia.org/wiki/Lee_Mack</x:v>
      </x:c>
      <x:c r="K89" s="16" t="str"/>
      <x:c r="L89" s="16" t="str"/>
      <x:c r="M89" s="3" t="str">
        <x:v>Not cleared for first-excellence claim</x:v>
      </x:c>
    </x:row>
    <x:row r="90" ht="118" customHeight="1">
      <x:c r="A90" s="3" t="str">
        <x:v>121</x:v>
      </x:c>
      <x:c r="B90" s="12" t="str">
        <x:v>Micky Flanagan</x:v>
      </x:c>
      <x:c r="C90" s="3" t="str">
        <x:v>Comedy</x:v>
      </x:c>
      <x:c r="D90" s="3" t="str">
        <x:v>B</x:v>
      </x:c>
      <x:c r="E90" s="3" t="str">
        <x:v>38</x:v>
      </x:c>
      <x:c r="F90" s="3" t="str">
        <x:v>Selected for Big Value Comedy at Edinburgh in 2001; professional stand-up began in 1997.</x:v>
      </x:c>
      <x:c r="G90" s="3" t="str">
        <x:v>Left school without qualifications; worked as fish porter and in furniture; returned to education as an adult.</x:v>
      </x:c>
      <x:c r="H90" s="14" t="str">
        <x:v>Find the earliest selective booking or competition before 2001 and audit education/work outcomes; the 1997–2001 proof interval is provisional.</x:v>
      </x:c>
      <x:c r="I90" s="3" t="str">
        <x:v>Biographical desk screen; incomplete pre-26 coverage</x:v>
      </x:c>
      <x:c r="J90" s="16" t="str">
        <x:v>https://en.wikipedia.org/wiki/Micky_Flanagan</x:v>
      </x:c>
      <x:c r="K90" s="16" t="str"/>
      <x:c r="L90" s="16" t="str"/>
      <x:c r="M90" s="3" t="str">
        <x:v>Not cleared for first-excellence claim</x:v>
      </x:c>
    </x:row>
    <x:row r="91" ht="118" customHeight="1">
      <x:c r="A91" s="3" t="str">
        <x:v>124</x:v>
      </x:c>
      <x:c r="B91" s="12" t="str">
        <x:v>Walter Mosley</x:v>
      </x:c>
      <x:c r="C91" s="3" t="str">
        <x:v>Fiction</x:v>
      </x:c>
      <x:c r="D91" s="3" t="str">
        <x:v>B</x:v>
      </x:c>
      <x:c r="E91" s="3" t="str">
        <x:v>38</x:v>
      </x:c>
      <x:c r="F91" s="3" t="str">
        <x:v>Devil in a Blue Dress was published in 1990; writing began at 34.</x:v>
      </x:c>
      <x:c r="G91" s="3" t="str">
        <x:v>Worked in computing and studied writing while employed at Mobil.</x:v>
      </x:c>
      <x:c r="H91" s="14" t="str">
        <x:v>Audit school achievements, software work and earlier publications; the writing-course start is not itself proof.</x:v>
      </x:c>
      <x:c r="I91" s="3" t="str">
        <x:v>Biographical desk screen; incomplete pre-26 coverage</x:v>
      </x:c>
      <x:c r="J91" s="16" t="str">
        <x:v>https://en.wikipedia.org/wiki/Walter_Mosley</x:v>
      </x:c>
      <x:c r="K91" s="16" t="str">
        <x:v>https://www.macdowell.org/artists/walter-mosley</x:v>
      </x:c>
      <x:c r="L91" s="16" t="str"/>
      <x:c r="M91" s="3" t="str">
        <x:v>Not cleared for first-excellence claim</x:v>
      </x:c>
    </x:row>
    <x:row r="92" ht="118" customHeight="1">
      <x:c r="A92" s="3" t="str">
        <x:v>125</x:v>
      </x:c>
      <x:c r="B92" s="12" t="str">
        <x:v>Sue Monk Kidd</x:v>
      </x:c>
      <x:c r="C92" s="3" t="str">
        <x:v>Writing</x:v>
      </x:c>
      <x:c r="D92" s="3" t="str">
        <x:v>B</x:v>
      </x:c>
      <x:c r="E92" s="3" t="str">
        <x:v>30</x:v>
      </x:c>
      <x:c r="F92" s="3" t="str">
        <x:v>First personal essay was published in Guideposts and reprinted in Reader’s Digest.</x:v>
      </x:c>
      <x:c r="G92" s="3" t="str">
        <x:v>Nursing graduate, registered nurse and nursing instructor.</x:v>
      </x:c>
      <x:c r="H92" s="14" t="str">
        <x:v>Audit academic and nursing distinctions before 26; do not use the much later first novel as first achievement.</x:v>
      </x:c>
      <x:c r="I92" s="3" t="str">
        <x:v>Biographical desk screen; incomplete pre-26 coverage</x:v>
      </x:c>
      <x:c r="J92" s="16" t="str">
        <x:v>https://books.google.com/books/about/All_Things_Are_Possible.html?id=cDJ56fTHqNYC</x:v>
      </x:c>
      <x:c r="K92" s="16" t="str">
        <x:v>https://www.cliffsnotes.com/literature/s/the-secret-life-of-bees/sue-monk-kidd-biography</x:v>
      </x:c>
      <x:c r="L92" s="16" t="str"/>
      <x:c r="M92" s="3" t="str">
        <x:v>Not cleared for first-excellence claim</x:v>
      </x:c>
    </x:row>
    <x:row r="93" ht="118" customHeight="1">
      <x:c r="A93" s="3" t="str">
        <x:v>126</x:v>
      </x:c>
      <x:c r="B93" s="12" t="str">
        <x:v>James Dashner</x:v>
      </x:c>
      <x:c r="C93" s="3" t="str">
        <x:v>Fiction</x:v>
      </x:c>
      <x:c r="D93" s="3" t="str">
        <x:v>B</x:v>
      </x:c>
      <x:c r="E93" s="3" t="str">
        <x:v>30–31</x:v>
      </x:c>
      <x:c r="F93" s="3" t="str">
        <x:v>A Door in the Woods was published in 2003.</x:v>
      </x:c>
      <x:c r="G93" s="3" t="str">
        <x:v>Studied accounting through master’s level; wrote privately as a child.</x:v>
      </x:c>
      <x:c r="H93" s="14" t="str">
        <x:v>Check academic honours and earlier publishing; do not equate childhood practice or an ordinary degree with demonstrated distinction. Inclusion is biographical, not endorsement.</x:v>
      </x:c>
      <x:c r="I93" s="3" t="str">
        <x:v>Biographical desk screen; incomplete pre-26 coverage</x:v>
      </x:c>
      <x:c r="J93" s="16" t="str">
        <x:v>https://en.wikipedia.org/wiki/James_Dashner</x:v>
      </x:c>
      <x:c r="K93" s="16" t="str"/>
      <x:c r="L93" s="16" t="str"/>
      <x:c r="M93" s="3" t="str">
        <x:v>Not cleared for first-excellence claim</x:v>
      </x:c>
    </x:row>
    <x:row r="94" ht="118" customHeight="1">
      <x:c r="A94" s="3" t="str">
        <x:v>127</x:v>
      </x:c>
      <x:c r="B94" s="12" t="str">
        <x:v>Dashiell Hammett</x:v>
      </x:c>
      <x:c r="C94" s="3" t="str">
        <x:v>Fiction</x:v>
      </x:c>
      <x:c r="D94" s="3" t="str">
        <x:v>B</x:v>
      </x:c>
      <x:c r="E94" s="3" t="str">
        <x:v>28</x:v>
      </x:c>
      <x:c r="F94" s="3" t="str">
        <x:v>The Parthian Shot appeared in The Smart Set in October 1922.</x:v>
      </x:c>
      <x:c r="G94" s="3" t="str">
        <x:v>Worked as a private detective before writing.</x:v>
      </x:c>
      <x:c r="H94" s="14" t="str">
        <x:v>Investigate earlier detective work and military distinctions; the later famous novels are not first proof.</x:v>
      </x:c>
      <x:c r="I94" s="3" t="str">
        <x:v>Biographical desk screen; incomplete pre-26 coverage</x:v>
      </x:c>
      <x:c r="J94" s="16" t="str">
        <x:v>https://en.wikipedia.org/wiki/Dashiell_Hammett</x:v>
      </x:c>
      <x:c r="K94" s="16" t="str"/>
      <x:c r="L94" s="16" t="str"/>
      <x:c r="M94" s="3" t="str">
        <x:v>Not cleared for first-excellence claim</x:v>
      </x:c>
    </x:row>
    <x:row r="95" ht="118" customHeight="1">
      <x:c r="A95" s="3" t="str">
        <x:v>128</x:v>
      </x:c>
      <x:c r="B95" s="12" t="str">
        <x:v>Ree Drummond</x:v>
      </x:c>
      <x:c r="C95" s="3" t="str">
        <x:v>Blogging</x:v>
      </x:c>
      <x:c r="D95" s="3" t="str">
        <x:v>B</x:v>
      </x:c>
      <x:c r="E95" s="3" t="str">
        <x:v>38</x:v>
      </x:c>
      <x:c r="F95" s="3" t="str">
        <x:v>Won the Best Kept Secret category at the 2007 Bloggies after starting a blog in 2006.</x:v>
      </x:c>
      <x:c r="G95" s="3" t="str">
        <x:v>USC graduate; homemaking and ranch life preceded blogging.</x:v>
      </x:c>
      <x:c r="H95" s="14" t="str">
        <x:v>Audit earlier writing/photography and academic outcomes. Family wealth and support must be disclosed separately from her own achievements.</x:v>
      </x:c>
      <x:c r="I95" s="3" t="str">
        <x:v>Biographical desk screen; incomplete pre-26 coverage</x:v>
      </x:c>
      <x:c r="J95" s="16" t="str">
        <x:v>https://www.wired.com/2009/03/bloggies-tk-tk</x:v>
      </x:c>
      <x:c r="K95" s="16" t="str">
        <x:v>https://en.wikipedia.org/wiki/Ree_Drummond</x:v>
      </x:c>
      <x:c r="L95" s="16" t="str"/>
      <x:c r="M95" s="3" t="str">
        <x:v>Not cleared for first-excellence claim</x:v>
      </x:c>
    </x:row>
    <x:row r="96" ht="118" customHeight="1">
      <x:c r="A96" s="3" t="str">
        <x:v>129</x:v>
      </x:c>
      <x:c r="B96" s="12" t="str">
        <x:v>Lonnie Holley</x:v>
      </x:c>
      <x:c r="C96" s="3" t="str">
        <x:v>Visual art</x:v>
      </x:c>
      <x:c r="D96" s="3" t="str">
        <x:v>B</x:v>
      </x:c>
      <x:c r="E96" s="3" t="str">
        <x:v>31</x:v>
      </x:c>
      <x:c r="F96" s="3" t="str">
        <x:v>Birmingham Museum of Art displayed his sandstone carvings in 1981; art-making began in 1979.</x:v>
      </x:c>
      <x:c r="G96" s="3" t="str">
        <x:v>Self-taught artist; first-person account describes beginning with found materials in adulthood.</x:v>
      </x:c>
      <x:c r="H96" s="14" t="str">
        <x:v>Audit earlier craft, music and community recognition; first museum support is an upper bound, not necessarily first local excellence.</x:v>
      </x:c>
      <x:c r="I96" s="3" t="str">
        <x:v>Biographical desk screen; incomplete pre-26 coverage</x:v>
      </x:c>
      <x:c r="J96" s="16" t="str">
        <x:v>https://en.wikipedia.org/wiki/Lonnie_Holley</x:v>
      </x:c>
      <x:c r="K96" s="16" t="str">
        <x:v>https://www.soulsgrowndeep.org/artist/lonnie-holley</x:v>
      </x:c>
      <x:c r="L96" s="16" t="str"/>
      <x:c r="M96" s="3" t="str">
        <x:v>Not cleared for first-excellence claim</x:v>
      </x:c>
    </x:row>
    <x:row r="97" ht="118" customHeight="1">
      <x:c r="A97" s="3" t="str">
        <x:v>131</x:v>
      </x:c>
      <x:c r="B97" s="12" t="str">
        <x:v>Ben Chestnut</x:v>
      </x:c>
      <x:c r="C97" s="3" t="str">
        <x:v>Software business</x:v>
      </x:c>
      <x:c r="D97" s="3" t="str">
        <x:v>B</x:v>
      </x:c>
      <x:c r="E97" s="3" t="str">
        <x:v>About 33–34</x:v>
      </x:c>
      <x:c r="F97" s="3" t="str">
        <x:v>Mailchimp had roughly 10,000 users in 2007 and became the founders’ full-time business.</x:v>
      </x:c>
      <x:c r="G97" s="3" t="str">
        <x:v>Industrial-design education and web-design work preceded the email product.</x:v>
      </x:c>
      <x:c r="H97" s="14" t="str">
        <x:v>Audit pre-26 technical/design accomplishments and locate the agency’s first substantial results; exact birth year is not settled.</x:v>
      </x:c>
      <x:c r="I97" s="3" t="str">
        <x:v>Biographical desk screen; incomplete pre-26 coverage</x:v>
      </x:c>
      <x:c r="J97" s="16" t="str">
        <x:v>https://en.wikipedia.org/wiki/Ben_Chestnut</x:v>
      </x:c>
      <x:c r="K97" s="16" t="str">
        <x:v>https://www.forbesindia.com/article/cross-border/saving-businesses-the-old-fashioned-wayby-email/51755/1</x:v>
      </x:c>
      <x:c r="L97" s="16" t="str">
        <x:v>https://creativeloafing.com/content-185685-cover-story-subject-mailchimp</x:v>
      </x:c>
      <x:c r="M97" s="3" t="str">
        <x:v>Not cleared for first-excellence claim</x:v>
      </x:c>
    </x:row>
    <x:row r="98" ht="118" customHeight="1">
      <x:c r="A98" s="3" t="str">
        <x:v>132</x:v>
      </x:c>
      <x:c r="B98" s="12" t="str">
        <x:v>Mat Riley</x:v>
      </x:c>
      <x:c r="C98" s="3" t="str">
        <x:v>Baking</x:v>
      </x:c>
      <x:c r="D98" s="3" t="str">
        <x:v>B</x:v>
      </x:c>
      <x:c r="E98" s="3" t="str">
        <x:v>37</x:v>
      </x:c>
      <x:c r="F98" s="3" t="str">
        <x:v>Bake Off episode-six Star Baker in 2015.</x:v>
      </x:c>
      <x:c r="G98" s="3" t="str">
        <x:v>Firefighter.</x:v>
      </x:c>
      <x:c r="H98" s="14" t="str">
        <x:v>Investigate school, sport, emergency-service distinctions and earlier baking contests; expert judging is the located proof.</x:v>
      </x:c>
      <x:c r="I98" s="3" t="str">
        <x:v>Competition record: age, result and occupation; no full early-life review</x:v>
      </x:c>
      <x:c r="J98" s="16" t="str">
        <x:v>https://en.wikipedia.org/wiki/The_Great_British_Bake_Off_series_6</x:v>
      </x:c>
      <x:c r="K98" s="16" t="str"/>
      <x:c r="L98" s="16" t="str"/>
      <x:c r="M98" s="3" t="str">
        <x:v>Not cleared for first-excellence claim</x:v>
      </x:c>
    </x:row>
    <x:row r="99" ht="118" customHeight="1">
      <x:c r="A99" s="3" t="str">
        <x:v>133</x:v>
      </x:c>
      <x:c r="B99" s="12" t="str">
        <x:v>Tamal Ray</x:v>
      </x:c>
      <x:c r="C99" s="3" t="str">
        <x:v>Baking</x:v>
      </x:c>
      <x:c r="D99" s="3" t="str">
        <x:v>B</x:v>
      </x:c>
      <x:c r="E99" s="3" t="str">
        <x:v>29</x:v>
      </x:c>
      <x:c r="F99" s="3" t="str">
        <x:v>2015 Bake Off runner-up.</x:v>
      </x:c>
      <x:c r="G99" s="3" t="str">
        <x:v>Trainee anaesthetist.</x:v>
      </x:c>
      <x:c r="H99" s="14" t="str">
        <x:v>Selective medical education and earlier exam performance require scrutiny; neither a medical job title nor missing grades resolves prior excellence.</x:v>
      </x:c>
      <x:c r="I99" s="3" t="str">
        <x:v>Competition record: age, result and occupation; no full early-life review</x:v>
      </x:c>
      <x:c r="J99" s="16" t="str">
        <x:v>https://en.wikipedia.org/wiki/The_Great_British_Bake_Off_series_6</x:v>
      </x:c>
      <x:c r="K99" s="16" t="str"/>
      <x:c r="L99" s="16" t="str"/>
      <x:c r="M99" s="3" t="str">
        <x:v>Not cleared for first-excellence claim</x:v>
      </x:c>
    </x:row>
    <x:row r="100" ht="118" customHeight="1">
      <x:c r="A100" s="3" t="str">
        <x:v>134</x:v>
      </x:c>
      <x:c r="B100" s="12" t="str">
        <x:v>Tommy Pham</x:v>
      </x:c>
      <x:c r="C100" s="3" t="str">
        <x:v>Cooking</x:v>
      </x:c>
      <x:c r="D100" s="3" t="str">
        <x:v>B</x:v>
      </x:c>
      <x:c r="E100" s="3" t="str">
        <x:v>31</x:v>
      </x:c>
      <x:c r="F100" s="3" t="str">
        <x:v>Top-seven MasterChef Australia finish in 2021, with repeatedly highly rated individual dishes.</x:v>
      </x:c>
      <x:c r="G100" s="3" t="str">
        <x:v>Kindergarten teacher.</x:v>
      </x:c>
      <x:c r="H100" s="14" t="str">
        <x:v>Audit earlier teaching, academic, sporting and culinary achievements; competition performance does not establish a novice start.</x:v>
      </x:c>
      <x:c r="I100" s="3" t="str">
        <x:v>Competition record: age, result and occupation; no full early-life review</x:v>
      </x:c>
      <x:c r="J100" s="16" t="str">
        <x:v>https://en.wikipedia.org/wiki/MasterChef_Australia_series_13</x:v>
      </x:c>
      <x:c r="K100" s="16" t="str"/>
      <x:c r="L100" s="16" t="str"/>
      <x:c r="M100" s="3" t="str">
        <x:v>Not cleared for first-excellence claim</x:v>
      </x:c>
    </x:row>
    <x:row r="101" ht="118" customHeight="1">
      <x:c r="A101" s="3" t="str">
        <x:v>135</x:v>
      </x:c>
      <x:c r="B101" s="12" t="str">
        <x:v>Depinder Chhibber</x:v>
      </x:c>
      <x:c r="C101" s="3" t="str">
        <x:v>Cooking</x:v>
      </x:c>
      <x:c r="D101" s="3" t="str">
        <x:v>B</x:v>
      </x:c>
      <x:c r="E101" s="3" t="str">
        <x:v>29</x:v>
      </x:c>
      <x:c r="F101" s="3" t="str">
        <x:v>Won two individual MasterChef Australia immunity challenges in May 2021.</x:v>
      </x:c>
      <x:c r="G101" s="3" t="str">
        <x:v>Pharmacist.</x:v>
      </x:c>
      <x:c r="H101" s="14" t="str">
        <x:v>Check earlier academic distinction and cooking contests; professional qualification alone is not treated as proof of exceptional performance.</x:v>
      </x:c>
      <x:c r="I101" s="3" t="str">
        <x:v>Competition record: age, result and occupation; no full early-life review</x:v>
      </x:c>
      <x:c r="J101" s="16" t="str">
        <x:v>https://en.wikipedia.org/wiki/MasterChef_Australia_series_13</x:v>
      </x:c>
      <x:c r="K101" s="16" t="str"/>
      <x:c r="L101" s="16" t="str"/>
      <x:c r="M101" s="3" t="str">
        <x:v>Not cleared for first-excellence claim</x:v>
      </x:c>
    </x:row>
  </x:sheetData>
  <x:conditionalFormatting sqref="D2:D101">
    <x:cfRule type="expression" dxfId="0" priority="1">
      <x:formula>D2="A"</x:formula>
    </x:cfRule>
    <x:cfRule type="expression" dxfId="1" priority="2">
      <x:formula>D2="C"</x:formula>
    </x:cfRule>
  </x:conditionalFormatting>
  <x:dataValidations count="1">
    <x:dataValidation type="list" sqref="D2:D101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5567faee44496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20" hidden="0" customWidth="1"/>
    <x:col min="4" max="4" width="12" hidden="0" customWidth="1"/>
    <x:col min="5" max="5" width="20" hidden="0" customWidth="1"/>
    <x:col min="6" max="6" width="40" hidden="0" customWidth="1"/>
    <x:col min="7" max="7" width="38" hidden="0" customWidth="1"/>
    <x:col min="8" max="8" width="40" hidden="0" customWidth="1"/>
    <x:col min="9" max="9" width="30" hidden="0" customWidth="1"/>
    <x:col min="10" max="10" width="38" hidden="0" customWidth="1"/>
    <x:col min="11" max="11" width="38" hidden="0" customWidth="1"/>
    <x:col min="12" max="12" width="38" hidden="0" customWidth="1"/>
    <x:col min="13" max="13" width="30" hidden="0" customWidth="1"/>
  </x:cols>
  <x:sheetData>
    <x:row r="1" ht="34" customHeight="1">
      <x:c r="A1" s="8" t="str">
        <x:v>ID</x:v>
      </x:c>
      <x:c r="B1" s="8" t="str">
        <x:v>Person</x:v>
      </x:c>
      <x:c r="C1" s="8" t="str">
        <x:v>Domain</x:v>
      </x:c>
      <x:c r="D1" s="8" t="str">
        <x:v>Intake status</x:v>
      </x:c>
      <x:c r="E1" s="8" t="str">
        <x:v>Located milestone age</x:v>
      </x:c>
      <x:c r="F1" s="8" t="str">
        <x:v>Earliest located proof</x:v>
      </x:c>
      <x:c r="G1" s="8" t="str">
        <x:v>Earlier background</x:v>
      </x:c>
      <x:c r="H1" s="8" t="str">
        <x:v>Unresolved issue / audit</x:v>
      </x:c>
      <x:c r="I1" s="8" t="str">
        <x:v>Research depth</x:v>
      </x:c>
      <x:c r="J1" s="8" t="str">
        <x:v>Source 1</x:v>
      </x:c>
      <x:c r="K1" s="8" t="str">
        <x:v>Source 2</x:v>
      </x:c>
      <x:c r="L1" s="8" t="str">
        <x:v>Source 3</x:v>
      </x:c>
      <x:c r="M1" s="8" t="str">
        <x:v>Publication status</x:v>
      </x:c>
    </x:row>
    <x:row r="2" ht="118" customHeight="1">
      <x:c r="A2" s="3" t="str">
        <x:v>005</x:v>
      </x:c>
      <x:c r="B2" s="12" t="str">
        <x:v>Emma Stepto</x:v>
      </x:c>
      <x:c r="C2" s="3" t="str">
        <x:v>Distance running</x:v>
      </x:c>
      <x:c r="D2" s="3" t="str">
        <x:v>C</x:v>
      </x:c>
      <x:c r="E2" s="3" t="str">
        <x:v>About 38–39</x:v>
      </x:c>
      <x:c r="F2" s="3" t="str">
        <x:v>Won the 2008 Duchy Open 3,000 m and placed second in the county 5,000 m.</x:v>
      </x:c>
      <x:c r="G2" s="3" t="str">
        <x:v>Later adult return to running; interviews also mention running at school.</x:v>
      </x:c>
      <x:c r="H2" s="14" t="str">
        <x:v>Establish exact age and whether school running included county/district selection; not a clean late-start claim yet.</x:v>
      </x:c>
      <x:c r="I2" s="3" t="str">
        <x:v>Biographical desk screen; incomplete pre-26 coverage</x:v>
      </x:c>
      <x:c r="J2" s="16" t="str">
        <x:v>https://the-cornish-historian.com/2025/04/04/cornish-sporting-heroes-1-emma-stepto/</x:v>
      </x:c>
      <x:c r="K2" s="16" t="str">
        <x:v>https://www.city-runs.co.uk/emma-stepto-qa</x:v>
      </x:c>
      <x:c r="L2" s="16" t="str"/>
      <x:c r="M2" s="3" t="str">
        <x:v>Not cleared for first-excellence claim</x:v>
      </x:c>
    </x:row>
    <x:row r="3" ht="118" customHeight="1">
      <x:c r="A3" s="3" t="str">
        <x:v>007</x:v>
      </x:c>
      <x:c r="B3" s="12" t="str">
        <x:v>Tracy Barlow</x:v>
      </x:c>
      <x:c r="C3" s="3" t="str">
        <x:v>Distance running</x:v>
      </x:c>
      <x:c r="D3" s="3" t="str">
        <x:v>C</x:v>
      </x:c>
      <x:c r="E3" s="3" t="str">
        <x:v>Earlier record conflicts</x:v>
      </x:c>
      <x:c r="F3" s="3" t="str">
        <x:v>Later elite marathon results cannot be treated as her first athletic proof.</x:v>
      </x:c>
      <x:c r="G3" s="3" t="str">
        <x:v>Nurse; club athletics included sprinting, hurdles and triple jump before distance running.</x:v>
      </x:c>
      <x:c r="H3" s="14" t="str">
        <x:v>Southern League athletics in her early twenties may already clear the requested regional threshold. Keep outside the clean cohort.</x:v>
      </x:c>
      <x:c r="I3" s="3" t="str">
        <x:v>Biographical desk screen; incomplete pre-26 coverage</x:v>
      </x:c>
      <x:c r="J3" s="16" t="str">
        <x:v>https://en.wikipedia.org/wiki/Tracy_Barlow_(runner)</x:v>
      </x:c>
      <x:c r="K3" s="16" t="str">
        <x:v>https://athleticsweekly.com/news/interviews/tracy-barlow-journey-sprinter-to-gb-marathoner-61955/</x:v>
      </x:c>
      <x:c r="L3" s="16" t="str"/>
      <x:c r="M3" s="3" t="str">
        <x:v>Not cleared for first-excellence claim</x:v>
      </x:c>
    </x:row>
    <x:row r="4" ht="118" customHeight="1">
      <x:c r="A4" s="3" t="str">
        <x:v>008</x:v>
      </x:c>
      <x:c r="B4" s="12" t="str">
        <x:v>Jack Foster</x:v>
      </x:c>
      <x:c r="C4" s="3" t="str">
        <x:v>Distance running</x:v>
      </x:c>
      <x:c r="D4" s="3" t="str">
        <x:v>C</x:v>
      </x:c>
      <x:c r="E4" s="3" t="str">
        <x:v>37</x:v>
      </x:c>
      <x:c r="F4" s="3" t="str">
        <x:v>Third in the 1969 Canadian National Exhibition marathon in 2:19:03; began running at 32.</x:v>
      </x:c>
      <x:c r="G4" s="3" t="str">
        <x:v>Factory work and extensive earlier cycling.</x:v>
      </x:c>
      <x:c r="H4" s="14" t="str">
        <x:v>Earlier cycling must be checked for racing results; being a late runner is not sufficient.</x:v>
      </x:c>
      <x:c r="I4" s="3" t="str">
        <x:v>Biographical desk screen; incomplete pre-26 coverage</x:v>
      </x:c>
      <x:c r="J4" s="16" t="str">
        <x:v>https://en.wikipedia.org/wiki/Jack_Foster_(athlete)</x:v>
      </x:c>
      <x:c r="K4" s="16" t="str"/>
      <x:c r="L4" s="16" t="str"/>
      <x:c r="M4" s="3" t="str">
        <x:v>Not cleared for first-excellence claim</x:v>
      </x:c>
    </x:row>
    <x:row r="5" ht="118" customHeight="1">
      <x:c r="A5" s="3" t="str">
        <x:v>010</x:v>
      </x:c>
      <x:c r="B5" s="12" t="str">
        <x:v>Ihor Verys</x:v>
      </x:c>
      <x:c r="C5" s="3" t="str">
        <x:v>Ultrarunning</x:v>
      </x:c>
      <x:c r="D5" s="3" t="str">
        <x:v>C</x:v>
      </x:c>
      <x:c r="E5" s="3" t="str">
        <x:v>Late twenties; exact first proof open</x:v>
      </x:c>
      <x:c r="F5" s="3" t="str">
        <x:v>Major ultra results followed a move into trail running during the pandemic.</x:v>
      </x:c>
      <x:c r="G5" s="3" t="str">
        <x:v>Immigrated to Canada; first-person interviews describe discovering running in adulthood.</x:v>
      </x:c>
      <x:c r="H5" s="14" t="str">
        <x:v>Need a dated earliest competitive milestone and full earlier-history audit before age eligibility is asserted.</x:v>
      </x:c>
      <x:c r="I5" s="3" t="str">
        <x:v>Biographical desk screen; incomplete pre-26 coverage</x:v>
      </x:c>
      <x:c r="J5" s="16" t="str">
        <x:v>https://www.ultrarunnermagazine.co.uk/ihor-verys-discusses-his-barkley-marathons-win/</x:v>
      </x:c>
      <x:c r="K5" s="16" t="str">
        <x:v>https://www.timjacksonphd.com/an-interview-with-ultra-marathoner-ihor-verys-how-to-stay-resilient-when-challenging-yourself-to-the-limit/</x:v>
      </x:c>
      <x:c r="L5" s="16" t="str"/>
      <x:c r="M5" s="3" t="str">
        <x:v>Not cleared for first-excellence claim</x:v>
      </x:c>
    </x:row>
    <x:row r="6" ht="118" customHeight="1">
      <x:c r="A6" s="3" t="str">
        <x:v>011</x:v>
      </x:c>
      <x:c r="B6" s="12" t="str">
        <x:v>Karel Sabbe</x:v>
      </x:c>
      <x:c r="C6" s="3" t="str">
        <x:v>Ultrarunning</x:v>
      </x:c>
      <x:c r="D6" s="3" t="str">
        <x:v>C</x:v>
      </x:c>
      <x:c r="E6" s="3" t="str">
        <x:v>26</x:v>
      </x:c>
      <x:c r="F6" s="3" t="str">
        <x:v>Set a Pacific Crest Trail speed record in 2016.</x:v>
      </x:c>
      <x:c r="G6" s="3" t="str">
        <x:v>Dentist; earlier football and tennis are documented.</x:v>
      </x:c>
      <x:c r="H6" s="14" t="str">
        <x:v>Youth football/tennis competitive level is unresolved. A prior regional selection would disqualify a first-excellence interpretation.</x:v>
      </x:c>
      <x:c r="I6" s="3" t="str">
        <x:v>Biographical desk screen; incomplete pre-26 coverage</x:v>
      </x:c>
      <x:c r="J6" s="16" t="str">
        <x:v>https://en.wikipedia.org/wiki/Karel_Sabbe</x:v>
      </x:c>
      <x:c r="K6" s="16" t="str"/>
      <x:c r="L6" s="16" t="str"/>
      <x:c r="M6" s="3" t="str">
        <x:v>Not cleared for first-excellence claim</x:v>
      </x:c>
    </x:row>
    <x:row r="7" ht="118" customHeight="1">
      <x:c r="A7" s="3" t="str">
        <x:v>012</x:v>
      </x:c>
      <x:c r="B7" s="12" t="str">
        <x:v>Dan McLaughlin</x:v>
      </x:c>
      <x:c r="C7" s="3" t="str">
        <x:v>Amateur golf</x:v>
      </x:c>
      <x:c r="D7" s="3" t="str">
        <x:v>C</x:v>
      </x:c>
      <x:c r="E7" s="3" t="str">
        <x:v>34</x:v>
      </x:c>
      <x:c r="F7" s="3" t="str">
        <x:v>Reached a single-digit golf handicap after beginning his golf experiment at 30; source reports 5.2 in 2013.</x:v>
      </x:c>
      <x:c r="G7" s="3" t="str">
        <x:v>Previously worked as a commercial photographer.</x:v>
      </x:c>
      <x:c r="H7" s="14" t="str">
        <x:v>Confirm handicap with contemporaneous records, assess its competitive level, and audit earlier photography. Did not achieve the intended PGA goal.</x:v>
      </x:c>
      <x:c r="I7" s="3" t="str">
        <x:v>Biographical desk screen; incomplete pre-26 coverage</x:v>
      </x:c>
      <x:c r="J7" s="16" t="str">
        <x:v>https://en.wikipedia.org/wiki/Dan_McLaughlin_(golfer)</x:v>
      </x:c>
      <x:c r="K7" s="16" t="str"/>
      <x:c r="L7" s="16" t="str"/>
      <x:c r="M7" s="3" t="str">
        <x:v>Not cleared for first-excellence claim</x:v>
      </x:c>
    </x:row>
    <x:row r="8" ht="118" customHeight="1">
      <x:c r="A8" s="3" t="str">
        <x:v>015</x:v>
      </x:c>
      <x:c r="B8" s="12" t="str">
        <x:v>Robyn Carr</x:v>
      </x:c>
      <x:c r="C8" s="3" t="str">
        <x:v>Fiction</x:v>
      </x:c>
      <x:c r="D8" s="3" t="str">
        <x:v>C</x:v>
      </x:c>
      <x:c r="E8" s="3" t="str">
        <x:v>Age not securely established</x:v>
      </x:c>
      <x:c r="F8" s="3" t="str">
        <x:v>Author interview dates her first book deal to 1978; first novel publication is generally dated 1980.</x:v>
      </x:c>
      <x:c r="G8" s="3" t="str">
        <x:v>Trained as a nurse and moved repeatedly as a military spouse.</x:v>
      </x:c>
      <x:c r="H8" s="14" t="str">
        <x:v>Verify birth date and distinguish contract from publication before admitting to the age-qualified cohort.</x:v>
      </x:c>
      <x:c r="I8" s="3" t="str">
        <x:v>Biographical desk screen; incomplete pre-26 coverage</x:v>
      </x:c>
      <x:c r="J8" s="16" t="str">
        <x:v>https://www.robyncarr.com/biography/</x:v>
      </x:c>
      <x:c r="K8" s="16" t="str">
        <x:v>https://www.shelf-awareness.com/readers/2012-01-13/book_brahmin%3A_robyn_carr.html</x:v>
      </x:c>
      <x:c r="L8" s="16" t="str"/>
      <x:c r="M8" s="3" t="str">
        <x:v>Not cleared for first-excellence claim</x:v>
      </x:c>
    </x:row>
    <x:row r="9" ht="118" customHeight="1">
      <x:c r="A9" s="3" t="str">
        <x:v>018</x:v>
      </x:c>
      <x:c r="B9" s="12" t="str">
        <x:v>Scott Lynch</x:v>
      </x:c>
      <x:c r="C9" s="3" t="str">
        <x:v>Fiction</x:v>
      </x:c>
      <x:c r="D9" s="3" t="str">
        <x:v>C</x:v>
      </x:c>
      <x:c r="E9" s="3" t="str">
        <x:v>26</x:v>
      </x:c>
      <x:c r="F9" s="3" t="str">
        <x:v>A publisher bought his first novel in August 2004; publication followed in 2006.</x:v>
      </x:c>
      <x:c r="G9" s="3" t="str">
        <x:v>Worked as dishwasher, waiter, cook, office manager, web designer and freelance writer.</x:v>
      </x:c>
      <x:c r="H9" s="14" t="str">
        <x:v>Earlier freelance writing needs a substantive audit; it could already constitute the first professional distinction.</x:v>
      </x:c>
      <x:c r="I9" s="3" t="str">
        <x:v>Biographical desk screen; incomplete pre-26 coverage</x:v>
      </x:c>
      <x:c r="J9" s="16" t="str">
        <x:v>https://en.wikipedia.org/wiki/Scott_Lynch</x:v>
      </x:c>
      <x:c r="K9" s="16" t="str"/>
      <x:c r="L9" s="16" t="str"/>
      <x:c r="M9" s="3" t="str">
        <x:v>Not cleared for first-excellence claim</x:v>
      </x:c>
    </x:row>
    <x:row r="10" ht="118" customHeight="1">
      <x:c r="A10" s="3" t="str">
        <x:v>020</x:v>
      </x:c>
      <x:c r="B10" s="12" t="str">
        <x:v>Ravinder Singh</x:v>
      </x:c>
      <x:c r="C10" s="3" t="str">
        <x:v>Fiction</x:v>
      </x:c>
      <x:c r="D10" s="3" t="str">
        <x:v>C</x:v>
      </x:c>
      <x:c r="E10" s="3" t="str">
        <x:v>26</x:v>
      </x:c>
      <x:c r="F10" s="3" t="str">
        <x:v>I Too Had a Love Story was published in 2008; contemporaneous coverage followed.</x:v>
      </x:c>
      <x:c r="G10" s="3" t="str">
        <x:v>Engineering graduate and Infosys employee; ISB study came later, not before the first novel.</x:v>
      </x:c>
      <x:c r="H10" s="14" t="str">
        <x:v>2007 versus 2008 publication chronology could cross the age-25/26 boundary. Resolve first acceptance and publication dates, then audit earlier academic/technical achievements.</x:v>
      </x:c>
      <x:c r="I10" s="3" t="str">
        <x:v>Biographical desk screen; incomplete pre-26 coverage</x:v>
      </x:c>
      <x:c r="J10" s="16" t="str">
        <x:v>https://en.wikipedia.org/wiki/Ravinder_Singh_(author)</x:v>
      </x:c>
      <x:c r="K10" s="16" t="str"/>
      <x:c r="L10" s="16" t="str"/>
      <x:c r="M10" s="3" t="str">
        <x:v>Not cleared for first-excellence claim</x:v>
      </x:c>
    </x:row>
    <x:row r="11" ht="118" customHeight="1">
      <x:c r="A11" s="3" t="str">
        <x:v>022</x:v>
      </x:c>
      <x:c r="B11" s="12" t="str">
        <x:v>Anuja Chandramouli</x:v>
      </x:c>
      <x:c r="C11" s="3" t="str">
        <x:v>Fiction</x:v>
      </x:c>
      <x:c r="D11" s="3" t="str">
        <x:v>C</x:v>
      </x:c>
      <x:c r="E11" s="3" t="str">
        <x:v>Birth/publication dates require reconciliation</x:v>
      </x:c>
      <x:c r="F11" s="3" t="str">
        <x:v>Debut Arjuna appeared around 2012–2013.</x:v>
      </x:c>
      <x:c r="G11" s="3" t="str">
        <x:v>College education; trained Bharatanatyam dancer; childhood writing competitions are mentioned in biographical material.</x:v>
      </x:c>
      <x:c r="H11" s="14" t="str">
        <x:v>Earlier dance/writing achievements and conflicting birth dates make this an unresolved case, not a clean match.</x:v>
      </x:c>
      <x:c r="I11" s="3" t="str">
        <x:v>Biographical desk screen; incomplete pre-26 coverage</x:v>
      </x:c>
      <x:c r="J11" s="16" t="str">
        <x:v>https://en.wikipedia.org/wiki/Anuja_Chandramouli</x:v>
      </x:c>
      <x:c r="K11" s="16" t="str">
        <x:v>https://www.leadstartcorp.com/authors/anuja-chandramouli/</x:v>
      </x:c>
      <x:c r="L11" s="16" t="str"/>
      <x:c r="M11" s="3" t="str">
        <x:v>Not cleared for first-excellence claim</x:v>
      </x:c>
    </x:row>
    <x:row r="12" ht="118" customHeight="1">
      <x:c r="A12" s="3" t="str">
        <x:v>024</x:v>
      </x:c>
      <x:c r="B12" s="12" t="str">
        <x:v>Keigo Higashino</x:v>
      </x:c>
      <x:c r="C12" s="3" t="str">
        <x:v>Fiction</x:v>
      </x:c>
      <x:c r="D12" s="3" t="str">
        <x:v>C</x:v>
      </x:c>
      <x:c r="E12" s="3" t="str">
        <x:v>26–27</x:v>
      </x:c>
      <x:c r="F12" s="3" t="str">
        <x:v>Rampo Prize finalist in 1984 and winner in 1985.</x:v>
      </x:c>
      <x:c r="G12" s="3" t="str">
        <x:v>Electrical engineer; was university archery-club captain.</x:v>
      </x:c>
      <x:c r="H12" s="14" t="str">
        <x:v>Archery captaincy is a material earlier-performance flag requiring competitive-level verification.</x:v>
      </x:c>
      <x:c r="I12" s="3" t="str">
        <x:v>Biographical desk screen; incomplete pre-26 coverage</x:v>
      </x:c>
      <x:c r="J12" s="16" t="str">
        <x:v>https://en.wikipedia.org/wiki/Keigo_Higashino</x:v>
      </x:c>
      <x:c r="K12" s="16" t="str"/>
      <x:c r="L12" s="16" t="str"/>
      <x:c r="M12" s="3" t="str">
        <x:v>Not cleared for first-excellence claim</x:v>
      </x:c>
    </x:row>
    <x:row r="13" ht="118" customHeight="1">
      <x:c r="A13" s="3" t="str">
        <x:v>025</x:v>
      </x:c>
      <x:c r="B13" s="12" t="str">
        <x:v>Shigeru Miyamoto</x:v>
      </x:c>
      <x:c r="C13" s="3" t="str">
        <x:v>Game development</x:v>
      </x:c>
      <x:c r="D13" s="3" t="str">
        <x:v>C</x:v>
      </x:c>
      <x:c r="E13" s="3" t="str">
        <x:v>26–28</x:v>
      </x:c>
      <x:c r="F13" s="3" t="str">
        <x:v>Worked on Sheriff in 1979 and directed Donkey Kong in 1981.</x:v>
      </x:c>
      <x:c r="G13" s="3" t="str">
        <x:v>Industrial-design graduate; joined Nintendo in 1977, at 24, through a family introduction.</x:v>
      </x:c>
      <x:c r="H13" s="14" t="str">
        <x:v>Audit whether his pre-25 design portfolio or Nintendo work already met the threshold. Family access must remain visible.</x:v>
      </x:c>
      <x:c r="I13" s="3" t="str">
        <x:v>Biographical desk screen; incomplete pre-26 coverage</x:v>
      </x:c>
      <x:c r="J13" s="16" t="str">
        <x:v>https://en.wikipedia.org/wiki/Shigeru_Miyamoto</x:v>
      </x:c>
      <x:c r="K13" s="16" t="str"/>
      <x:c r="L13" s="16" t="str"/>
      <x:c r="M13" s="3" t="str">
        <x:v>Not cleared for first-excellence claim</x:v>
      </x:c>
    </x:row>
    <x:row r="14" ht="118" customHeight="1">
      <x:c r="A14" s="3" t="str">
        <x:v>026</x:v>
      </x:c>
      <x:c r="B14" s="12" t="str">
        <x:v>Chris Hunt</x:v>
      </x:c>
      <x:c r="C14" s="3" t="str">
        <x:v>Game development</x:v>
      </x:c>
      <x:c r="D14" s="3" t="str">
        <x:v>C</x:v>
      </x:c>
      <x:c r="E14" s="3" t="str">
        <x:v>Unverified</x:v>
      </x:c>
      <x:c r="F14" s="3" t="str">
        <x:v>Kenshi developed from a long solo project into a commercially released game.</x:v>
      </x:c>
      <x:c r="G14" s="3" t="str">
        <x:v>Development alongside security work is documented.</x:v>
      </x:c>
      <x:c r="H14" s="14" t="str">
        <x:v>Birth year and earliest independently validated milestone are not established in the reviewed sources.</x:v>
      </x:c>
      <x:c r="I14" s="3" t="str">
        <x:v>Biographical desk screen; incomplete pre-26 coverage</x:v>
      </x:c>
      <x:c r="J14" s="16" t="str">
        <x:v>https://www.indiegogo.com/en/projects/chrishunt/kenshi-a-free-roaming-squad-based-rpg/rewards</x:v>
      </x:c>
      <x:c r="K14" s="16" t="str"/>
      <x:c r="L14" s="16" t="str"/>
      <x:c r="M14" s="3" t="str">
        <x:v>Not cleared for first-excellence claim</x:v>
      </x:c>
    </x:row>
    <x:row r="15" ht="118" customHeight="1">
      <x:c r="A15" s="3" t="str">
        <x:v>027</x:v>
      </x:c>
      <x:c r="B15" s="12" t="str">
        <x:v>Tom Francis</x:v>
      </x:c>
      <x:c r="C15" s="3" t="str">
        <x:v>Game development</x:v>
      </x:c>
      <x:c r="D15" s="3" t="str">
        <x:v>C</x:v>
      </x:c>
      <x:c r="E15" s="3" t="str">
        <x:v>Unverified</x:v>
      </x:c>
      <x:c r="F15" s="3" t="str">
        <x:v>Gunpoint achieved commercial success in 2013.</x:v>
      </x:c>
      <x:c r="G15" s="3" t="str">
        <x:v>Previously a PC Gamer journalist.</x:v>
      </x:c>
      <x:c r="H15" s="14" t="str">
        <x:v>Verify age and whether earlier journalism was already a competitive professional distinction.</x:v>
      </x:c>
      <x:c r="I15" s="3" t="str">
        <x:v>Biographical desk screen; incomplete pre-26 coverage</x:v>
      </x:c>
      <x:c r="J15" s="16" t="str">
        <x:v>https://www.pentadact.com/page/15/?order=asc&amp;orderby=title</x:v>
      </x:c>
      <x:c r="K15" s="16" t="str">
        <x:v>https://www.pentadact.com/page/13/?order=ASC&amp;orderby=title</x:v>
      </x:c>
      <x:c r="L15" s="16" t="str"/>
      <x:c r="M15" s="3" t="str">
        <x:v>Not cleared for first-excellence claim</x:v>
      </x:c>
    </x:row>
    <x:row r="16" ht="118" customHeight="1">
      <x:c r="A16" s="3" t="str">
        <x:v>030</x:v>
      </x:c>
      <x:c r="B16" s="12" t="str">
        <x:v>Natalie Coleman</x:v>
      </x:c>
      <x:c r="C16" s="3" t="str">
        <x:v>Cooking</x:v>
      </x:c>
      <x:c r="D16" s="3" t="str">
        <x:v>C</x:v>
      </x:c>
      <x:c r="E16" s="3" t="str">
        <x:v>29</x:v>
      </x:c>
      <x:c r="F16" s="3" t="str">
        <x:v>Won MasterChef UK in 2013.</x:v>
      </x:c>
      <x:c r="G16" s="3" t="str">
        <x:v>Credit controller and part-time techno DJ.</x:v>
      </x:c>
      <x:c r="H16" s="14" t="str">
        <x:v>Prior DJ bookings, releases and competitive standing could be earlier excellence; investigate before inclusion.</x:v>
      </x:c>
      <x:c r="I16" s="3" t="str">
        <x:v>Biographical desk screen; incomplete pre-26 coverage</x:v>
      </x:c>
      <x:c r="J16" s="16" t="str">
        <x:v>https://en.wikipedia.org/wiki/Natalie_Coleman</x:v>
      </x:c>
      <x:c r="K16" s="16" t="str"/>
      <x:c r="L16" s="16" t="str"/>
      <x:c r="M16" s="3" t="str">
        <x:v>Not cleared for first-excellence claim</x:v>
      </x:c>
    </x:row>
    <x:row r="17" ht="118" customHeight="1">
      <x:c r="A17" s="3" t="str">
        <x:v>036</x:v>
      </x:c>
      <x:c r="B17" s="12" t="str">
        <x:v>Kate Bracks</x:v>
      </x:c>
      <x:c r="C17" s="3" t="str">
        <x:v>Cooking</x:v>
      </x:c>
      <x:c r="D17" s="3" t="str">
        <x:v>C</x:v>
      </x:c>
      <x:c r="E17" s="3" t="str">
        <x:v>Mid-thirties; source conflict</x:v>
      </x:c>
      <x:c r="F17" s="3" t="str">
        <x:v>Won MasterChef Australia in 2011.</x:v>
      </x:c>
      <x:c r="G17" s="3" t="str">
        <x:v>School teacher and mother of three; later returned to teaching.</x:v>
      </x:c>
      <x:c r="H17" s="14" t="str">
        <x:v>Sources conflict on age (competition table versus birth year). Verify age and earlier school/work achievements.</x:v>
      </x:c>
      <x:c r="I17" s="3" t="str">
        <x:v>Biographical desk screen; incomplete pre-26 coverage</x:v>
      </x:c>
      <x:c r="J17" s="16" t="str">
        <x:v>https://en.wikipedia.org/wiki/Kate_Bracks</x:v>
      </x:c>
      <x:c r="K17" s="16" t="str"/>
      <x:c r="L17" s="16" t="str"/>
      <x:c r="M17" s="3" t="str">
        <x:v>Not cleared for first-excellence claim</x:v>
      </x:c>
    </x:row>
    <x:row r="18" ht="118" customHeight="1">
      <x:c r="A18" s="3" t="str">
        <x:v>038</x:v>
      </x:c>
      <x:c r="B18" s="12" t="str">
        <x:v>Justin Narayan</x:v>
      </x:c>
      <x:c r="C18" s="3" t="str">
        <x:v>Cooking</x:v>
      </x:c>
      <x:c r="D18" s="3" t="str">
        <x:v>C</x:v>
      </x:c>
      <x:c r="E18" s="3" t="str">
        <x:v>27 reported; verify exact age</x:v>
      </x:c>
      <x:c r="F18" s="3" t="str">
        <x:v>Won MasterChef Australia in 2021.</x:v>
      </x:c>
      <x:c r="G18" s="3" t="str">
        <x:v>Youth pastor; also acted in a 2018 short film.</x:v>
      </x:c>
      <x:c r="H18" s="14" t="str">
        <x:v>Earlier acting selection and achievements need examination; reliable age confirmation is still required.</x:v>
      </x:c>
      <x:c r="I18" s="3" t="str">
        <x:v>Biographical desk screen; incomplete pre-26 coverage</x:v>
      </x:c>
      <x:c r="J18" s="16" t="str">
        <x:v>https://en.wikipedia.org/wiki/Justin_Narayan</x:v>
      </x:c>
      <x:c r="K18" s="16" t="str"/>
      <x:c r="L18" s="16" t="str"/>
      <x:c r="M18" s="3" t="str">
        <x:v>Not cleared for first-excellence claim</x:v>
      </x:c>
    </x:row>
    <x:row r="19" ht="118" customHeight="1">
      <x:c r="A19" s="3" t="str">
        <x:v>043</x:v>
      </x:c>
      <x:c r="B19" s="12" t="str">
        <x:v>Loretta Chase</x:v>
      </x:c>
      <x:c r="C19" s="3" t="str">
        <x:v>Fiction</x:v>
      </x:c>
      <x:c r="D19" s="3" t="str">
        <x:v>C</x:v>
      </x:c>
      <x:c r="E19" s="3" t="str">
        <x:v>37–38</x:v>
      </x:c>
      <x:c r="F19" s="3" t="str">
        <x:v>Isabella was bought by a New York editor and published in 1987.</x:v>
      </x:c>
      <x:c r="G19" s="3" t="str">
        <x:v>Clerical, teaching and administrative work; professional exhibition-catalogue and video writing preceded novels.</x:v>
      </x:c>
      <x:c r="H19" s="14" t="str">
        <x:v>Earlier paid writing may be the relevant first proof; date and evaluate it before using the novel milestone.</x:v>
      </x:c>
      <x:c r="I19" s="3" t="str">
        <x:v>Biographical desk screen; incomplete pre-26 coverage</x:v>
      </x:c>
      <x:c r="J19" s="16" t="str">
        <x:v>https://en.wikipedia.org/wiki/Loretta_Chase</x:v>
      </x:c>
      <x:c r="K19" s="16" t="str"/>
      <x:c r="L19" s="16" t="str"/>
      <x:c r="M19" s="3" t="str">
        <x:v>Not cleared for first-excellence claim</x:v>
      </x:c>
    </x:row>
    <x:row r="20" ht="118" customHeight="1">
      <x:c r="A20" s="3" t="str">
        <x:v>046</x:v>
      </x:c>
      <x:c r="B20" s="12" t="str">
        <x:v>Phyllis Diller</x:v>
      </x:c>
      <x:c r="C20" s="3" t="str">
        <x:v>Comedy</x:v>
      </x:c>
      <x:c r="D20" s="3" t="str">
        <x:v>C</x:v>
      </x:c>
      <x:c r="E20" s="3" t="str">
        <x:v>34–35</x:v>
      </x:c>
      <x:c r="F20" s="3" t="str">
        <x:v>Radio work in 1952 preceded the celebrated 1955 Purple Onion engagement at 37.</x:v>
      </x:c>
      <x:c r="G20" s="3" t="str">
        <x:v>Studied piano at music college without graduating; later homemaking and employment.</x:v>
      </x:c>
      <x:c r="H20" s="14" t="str">
        <x:v>Piano performance level before 25 is a substantial unresolved flag; do not present her as an unskilled homemaker.</x:v>
      </x:c>
      <x:c r="I20" s="3" t="str">
        <x:v>Biographical desk screen; incomplete pre-26 coverage</x:v>
      </x:c>
      <x:c r="J20" s="16" t="str">
        <x:v>https://ffrf.org/publications/day/phyllis-diller/</x:v>
      </x:c>
      <x:c r="K20" s="16" t="str"/>
      <x:c r="L20" s="16" t="str"/>
      <x:c r="M20" s="3" t="str">
        <x:v>Not cleared for first-excellence claim</x:v>
      </x:c>
    </x:row>
    <x:row r="21" ht="118" customHeight="1">
      <x:c r="A21" s="3" t="str">
        <x:v>050</x:v>
      </x:c>
      <x:c r="B21" s="12" t="str">
        <x:v>Anand Neelakantan</x:v>
      </x:c>
      <x:c r="C21" s="3" t="str">
        <x:v>Fiction</x:v>
      </x:c>
      <x:c r="D21" s="3" t="str">
        <x:v>C</x:v>
      </x:c>
      <x:c r="E21" s="3" t="str">
        <x:v>About 38–39; birth date to confirm</x:v>
      </x:c>
      <x:c r="F21" s="3" t="str">
        <x:v>Asura was published in May 2012 and reached bestseller charts.</x:v>
      </x:c>
      <x:c r="G21" s="3" t="str">
        <x:v>Engineering graduate; Indian Oil employee; also drew cartoons for Malayalam magazines.</x:v>
      </x:c>
      <x:c r="H21" s="14" t="str">
        <x:v>Date earlier published cartoons and assess their selectivity; verify birth date before age-qualified inclusion.</x:v>
      </x:c>
      <x:c r="I21" s="3" t="str">
        <x:v>Biographical desk screen; incomplete pre-26 coverage</x:v>
      </x:c>
      <x:c r="J21" s="16" t="str">
        <x:v>https://en.wikipedia.org/wiki/Anand_Neelakantan</x:v>
      </x:c>
      <x:c r="K21" s="16" t="str"/>
      <x:c r="L21" s="16" t="str"/>
      <x:c r="M21" s="3" t="str">
        <x:v>Not cleared for first-excellence claim</x:v>
      </x:c>
    </x:row>
    <x:row r="22" ht="118" customHeight="1">
      <x:c r="A22" s="3" t="str">
        <x:v>051</x:v>
      </x:c>
      <x:c r="B22" s="12" t="str">
        <x:v>Preeti Shenoy</x:v>
      </x:c>
      <x:c r="C22" s="3" t="str">
        <x:v>Fiction</x:v>
      </x:c>
      <x:c r="D22" s="3" t="str">
        <x:v>C</x:v>
      </x:c>
      <x:c r="E22" s="3" t="str">
        <x:v>About 36–37; verify</x:v>
      </x:c>
      <x:c r="F22" s="3" t="str">
        <x:v>34 Bubblegums and Candies followed her earlier blog; later fiction became bestselling.</x:v>
      </x:c>
      <x:c r="G22" s="3" t="str">
        <x:v>Self-taught artist as well as writer.</x:v>
      </x:c>
      <x:c r="H22" s="14" t="str">
        <x:v>Earlier art exhibitions, commissions and blog reception could shift the first proof; birth and publication dates need consolidation.</x:v>
      </x:c>
      <x:c r="I22" s="3" t="str">
        <x:v>Biographical desk screen; incomplete pre-26 coverage</x:v>
      </x:c>
      <x:c r="J22" s="16" t="str">
        <x:v>https://en.wikipedia.org/wiki/Preeti_Shenoy</x:v>
      </x:c>
      <x:c r="K22" s="16" t="str"/>
      <x:c r="L22" s="16" t="str"/>
      <x:c r="M22" s="3" t="str">
        <x:v>Not cleared for first-excellence claim</x:v>
      </x:c>
    </x:row>
    <x:row r="23" ht="118" customHeight="1">
      <x:c r="A23" s="3" t="str">
        <x:v>053</x:v>
      </x:c>
      <x:c r="B23" s="12" t="str">
        <x:v>Haruki Murakami</x:v>
      </x:c>
      <x:c r="C23" s="3" t="str">
        <x:v>Fiction</x:v>
      </x:c>
      <x:c r="D23" s="3" t="str">
        <x:v>C</x:v>
      </x:c>
      <x:c r="E23" s="3" t="str">
        <x:v>30</x:v>
      </x:c>
      <x:c r="F23" s="3" t="str">
        <x:v>Hear the Wind Sing won the Gunzo New Writers Prize in 1979.</x:v>
      </x:c>
      <x:c r="G23" s="3" t="str">
        <x:v>Ran a jazz bar; described beginning fiction at 29.</x:v>
      </x:c>
      <x:c r="H23" s="14" t="str">
        <x:v>Waseda admission and earlier bar-business performance need examination; do not substitute his own ordinary-person description for a cross-domain audit.</x:v>
      </x:c>
      <x:c r="I23" s="3" t="str">
        <x:v>Biographical desk screen; incomplete pre-26 coverage</x:v>
      </x:c>
      <x:c r="J23" s="16" t="str">
        <x:v>https://en.wikipedia.org/wiki/Haruki_Murakami</x:v>
      </x:c>
      <x:c r="K23" s="16" t="str"/>
      <x:c r="L23" s="16" t="str"/>
      <x:c r="M23" s="3" t="str">
        <x:v>Not cleared for first-excellence claim</x:v>
      </x:c>
    </x:row>
    <x:row r="24" ht="118" customHeight="1">
      <x:c r="A24" s="3" t="str">
        <x:v>055</x:v>
      </x:c>
      <x:c r="B24" s="12" t="str">
        <x:v>David Baldacci</x:v>
      </x:c>
      <x:c r="C24" s="3" t="str">
        <x:v>Fiction</x:v>
      </x:c>
      <x:c r="D24" s="3" t="str">
        <x:v>C</x:v>
      </x:c>
      <x:c r="E24" s="3" t="str">
        <x:v>35</x:v>
      </x:c>
      <x:c r="F24" s="3" t="str">
        <x:v>Absolute Power was published in 1996 following years of unpublished writing.</x:v>
      </x:c>
      <x:c r="G24" s="3" t="str">
        <x:v>Practised law for nine years.</x:v>
      </x:c>
      <x:c r="H24" s="14" t="str">
        <x:v>University of Virginia law admission and prior legal performance are material academic/professional flags; do not count as a clean match.</x:v>
      </x:c>
      <x:c r="I24" s="3" t="str">
        <x:v>Biographical desk screen; incomplete pre-26 coverage</x:v>
      </x:c>
      <x:c r="J24" s="16" t="str">
        <x:v>https://en.wikipedia.org/wiki/David_Baldacci</x:v>
      </x:c>
      <x:c r="K24" s="16" t="str"/>
      <x:c r="L24" s="16" t="str"/>
      <x:c r="M24" s="3" t="str">
        <x:v>Not cleared for first-excellence claim</x:v>
      </x:c>
    </x:row>
    <x:row r="25" ht="118" customHeight="1">
      <x:c r="A25" s="3" t="str">
        <x:v>056</x:v>
      </x:c>
      <x:c r="B25" s="12" t="str">
        <x:v>Harlan Coben</x:v>
      </x:c>
      <x:c r="C25" s="3" t="str">
        <x:v>Fiction</x:v>
      </x:c>
      <x:c r="D25" s="3" t="str">
        <x:v>C</x:v>
      </x:c>
      <x:c r="E25" s="3" t="str">
        <x:v>28</x:v>
      </x:c>
      <x:c r="F25" s="3" t="str">
        <x:v>Play Dead was accepted and published in 1990.</x:v>
      </x:c>
      <x:c r="G25" s="3" t="str">
        <x:v>Amherst graduate; worked in his grandfather’s travel business.</x:v>
      </x:c>
      <x:c r="H25" s="14" t="str">
        <x:v>Selective Amherst admission and earlier school/work distinction require resolution before inclusion.</x:v>
      </x:c>
      <x:c r="I25" s="3" t="str">
        <x:v>Biographical desk screen; incomplete pre-26 coverage</x:v>
      </x:c>
      <x:c r="J25" s="16" t="str">
        <x:v>https://en.wikipedia.org/wiki/Harlan_Coben</x:v>
      </x:c>
      <x:c r="K25" s="16" t="str"/>
      <x:c r="L25" s="16" t="str"/>
      <x:c r="M25" s="3" t="str">
        <x:v>Not cleared for first-excellence claim</x:v>
      </x:c>
    </x:row>
    <x:row r="26" ht="118" customHeight="1">
      <x:c r="A26" s="3" t="str">
        <x:v>059</x:v>
      </x:c>
      <x:c r="B26" s="12" t="str">
        <x:v>Kathleen E. Woodiwiss</x:v>
      </x:c>
      <x:c r="C26" s="3" t="str">
        <x:v>Fiction</x:v>
      </x:c>
      <x:c r="D26" s="3" t="str">
        <x:v>C</x:v>
      </x:c>
      <x:c r="E26" s="3" t="str">
        <x:v>32–33</x:v>
      </x:c>
      <x:c r="F26" s="3" t="str">
        <x:v>Avon published The Flame and the Flower in 1972.</x:v>
      </x:c>
      <x:c r="G26" s="3" t="str">
        <x:v>Military spouse and mother; wrote after repeated abandoned attempts.</x:v>
      </x:c>
      <x:c r="H26" s="14" t="str">
        <x:v>Earlier paid fashion modelling in Japan is a real cross-domain flag; determine its selection level and date.</x:v>
      </x:c>
      <x:c r="I26" s="3" t="str">
        <x:v>Biographical desk screen; incomplete pre-26 coverage</x:v>
      </x:c>
      <x:c r="J26" s="16" t="str">
        <x:v>https://en.wikipedia.org/wiki/Kathleen_E._Woodiwiss</x:v>
      </x:c>
      <x:c r="K26" s="16" t="str"/>
      <x:c r="L26" s="16" t="str"/>
      <x:c r="M26" s="3" t="str">
        <x:v>Not cleared for first-excellence claim</x:v>
      </x:c>
    </x:row>
    <x:row r="27" ht="118" customHeight="1">
      <x:c r="A27" s="3" t="str">
        <x:v>067</x:v>
      </x:c>
      <x:c r="B27" s="12" t="str">
        <x:v>Carole Matthews</x:v>
      </x:c>
      <x:c r="C27" s="3" t="str">
        <x:v>Fiction</x:v>
      </x:c>
      <x:c r="D27" s="3" t="str">
        <x:v>C</x:v>
      </x:c>
      <x:c r="E27" s="3" t="str">
        <x:v>36–37</x:v>
      </x:c>
      <x:c r="F27" s="3" t="str">
        <x:v>First novel Let’s Meet on Platform Eight appeared in 1997.</x:v>
      </x:c>
      <x:c r="G27" s="3" t="str">
        <x:v>Worked in beauty therapy, secretarial work, freelance writing and television presenting.</x:v>
      </x:c>
      <x:c r="H27" s="14" t="str">
        <x:v>Earlier broadcasting and freelance publication may already meet the threshold. The first novel is not safely the first proof.</x:v>
      </x:c>
      <x:c r="I27" s="3" t="str">
        <x:v>Biographical desk screen; incomplete pre-26 coverage</x:v>
      </x:c>
      <x:c r="J27" s="16" t="str">
        <x:v>https://en.wikipedia.org/wiki/Carole_Matthews</x:v>
      </x:c>
      <x:c r="K27" s="16" t="str"/>
      <x:c r="L27" s="16" t="str"/>
      <x:c r="M27" s="3" t="str">
        <x:v>Not cleared for first-excellence claim</x:v>
      </x:c>
    </x:row>
    <x:row r="28" ht="118" customHeight="1">
      <x:c r="A28" s="3" t="str">
        <x:v>069</x:v>
      </x:c>
      <x:c r="B28" s="12" t="str">
        <x:v>Sherryl Woods</x:v>
      </x:c>
      <x:c r="C28" s="3" t="str">
        <x:v>Fiction</x:v>
      </x:c>
      <x:c r="D28" s="3" t="str">
        <x:v>C</x:v>
      </x:c>
      <x:c r="E28" s="3" t="str">
        <x:v>37–38</x:v>
      </x:c>
      <x:c r="F28" s="3" t="str">
        <x:v>First romance novels appeared under pen names in 1982.</x:v>
      </x:c>
      <x:c r="G28" s="3" t="str">
        <x:v>Journalist who had become a television editor.</x:v>
      </x:c>
      <x:c r="H28" s="14" t="str">
        <x:v>Earlier journalism/editorial promotion is a substantial potential distinction and must be dated; not a clean novel-first case.</x:v>
      </x:c>
      <x:c r="I28" s="3" t="str">
        <x:v>Biographical desk screen; incomplete pre-26 coverage</x:v>
      </x:c>
      <x:c r="J28" s="16" t="str">
        <x:v>https://en.wikipedia.org/wiki/Sherryl_Woods</x:v>
      </x:c>
      <x:c r="K28" s="16" t="str"/>
      <x:c r="L28" s="16" t="str"/>
      <x:c r="M28" s="3" t="str">
        <x:v>Not cleared for first-excellence claim</x:v>
      </x:c>
    </x:row>
    <x:row r="29" ht="118" customHeight="1">
      <x:c r="A29" s="3" t="str">
        <x:v>075</x:v>
      </x:c>
      <x:c r="B29" s="12" t="str">
        <x:v>Chetna Makan</x:v>
      </x:c>
      <x:c r="C29" s="3" t="str">
        <x:v>Baking</x:v>
      </x:c>
      <x:c r="D29" s="3" t="str">
        <x:v>C</x:v>
      </x:c>
      <x:c r="E29" s="3" t="str">
        <x:v>35</x:v>
      </x:c>
      <x:c r="F29" s="3" t="str">
        <x:v>2014 Bake Off semifinalist and episode-six Star Baker.</x:v>
      </x:c>
      <x:c r="G29" s="3" t="str">
        <x:v>Fashion designer.</x:v>
      </x:c>
      <x:c r="H29" s="14" t="str">
        <x:v>Earlier design work could already qualify; date commissions, awards and competitive education outcomes before admitting.</x:v>
      </x:c>
      <x:c r="I29" s="3" t="str">
        <x:v>Competition record: age, result and occupation; no full early-life review</x:v>
      </x:c>
      <x:c r="J29" s="16" t="str">
        <x:v>https://en.wikipedia.org/wiki/The_Great_British_Bake_Off_series_5</x:v>
      </x:c>
      <x:c r="K29" s="16" t="str"/>
      <x:c r="L29" s="16" t="str"/>
      <x:c r="M29" s="3" t="str">
        <x:v>Not cleared for first-excellence claim</x:v>
      </x:c>
    </x:row>
    <x:row r="30" ht="118" customHeight="1">
      <x:c r="A30" s="3" t="str">
        <x:v>095</x:v>
      </x:c>
      <x:c r="B30" s="12" t="str">
        <x:v>Sandro Farmhouse</x:v>
      </x:c>
      <x:c r="C30" s="3" t="str">
        <x:v>Baking</x:v>
      </x:c>
      <x:c r="D30" s="3" t="str">
        <x:v>C</x:v>
      </x:c>
      <x:c r="E30" s="3" t="str">
        <x:v>30</x:v>
      </x:c>
      <x:c r="F30" s="3" t="str">
        <x:v>2022 Bake Off runner-up.</x:v>
      </x:c>
      <x:c r="G30" s="3" t="str">
        <x:v>Nanny.</x:v>
      </x:c>
      <x:c r="H30" s="14" t="str">
        <x:v>Earlier professional cake work is a material flag; date and assess commissions before treating the show as first proof.</x:v>
      </x:c>
      <x:c r="I30" s="3" t="str">
        <x:v>Competition record: age, result and occupation; no full early-life review</x:v>
      </x:c>
      <x:c r="J30" s="16" t="str">
        <x:v>https://en.wikipedia.org/wiki/The_Great_British_Bake_Off_series_13</x:v>
      </x:c>
      <x:c r="K30" s="16" t="str"/>
      <x:c r="L30" s="16" t="str"/>
      <x:c r="M30" s="3" t="str">
        <x:v>Not cleared for first-excellence claim</x:v>
      </x:c>
    </x:row>
    <x:row r="31" ht="118" customHeight="1">
      <x:c r="A31" s="3" t="str">
        <x:v>113</x:v>
      </x:c>
      <x:c r="B31" s="12" t="str">
        <x:v>Simon Toohey</x:v>
      </x:c>
      <x:c r="C31" s="3" t="str">
        <x:v>Cooking</x:v>
      </x:c>
      <x:c r="D31" s="3" t="str">
        <x:v>C</x:v>
      </x:c>
      <x:c r="E31" s="3" t="str">
        <x:v>32</x:v>
      </x:c>
      <x:c r="F31" s="3" t="str">
        <x:v>Third in MasterChef Australia in 2019.</x:v>
      </x:c>
      <x:c r="G31" s="3" t="str">
        <x:v>Cocktail barman.</x:v>
      </x:c>
      <x:c r="H31" s="14" t="str">
        <x:v>Earlier cocktail competitions could be the actual first proof; their dates may move eligibility into or outside the cohort.</x:v>
      </x:c>
      <x:c r="I31" s="3" t="str">
        <x:v>Competition record: age, result and occupation; no full early-life review</x:v>
      </x:c>
      <x:c r="J31" s="16" t="str">
        <x:v>https://en.wikipedia.org/wiki/MasterChef_Australia_series_11</x:v>
      </x:c>
      <x:c r="K31" s="16" t="str"/>
      <x:c r="L31" s="16" t="str"/>
      <x:c r="M31" s="3" t="str">
        <x:v>Not cleared for first-excellence claim</x:v>
      </x:c>
    </x:row>
    <x:row r="32" ht="118" customHeight="1">
      <x:c r="A32" s="3" t="str">
        <x:v>117</x:v>
      </x:c>
      <x:c r="B32" s="12" t="str">
        <x:v>Kishwar Chowdhury</x:v>
      </x:c>
      <x:c r="C32" s="3" t="str">
        <x:v>Cooking</x:v>
      </x:c>
      <x:c r="D32" s="3" t="str">
        <x:v>C</x:v>
      </x:c>
      <x:c r="E32" s="3" t="str">
        <x:v>38</x:v>
      </x:c>
      <x:c r="F32" s="3" t="str">
        <x:v>Third in MasterChef Australia in 2021.</x:v>
      </x:c>
      <x:c r="G32" s="3" t="str">
        <x:v>Printing-business owner.</x:v>
      </x:c>
      <x:c r="H32" s="14" t="str">
        <x:v>Earlier design education and business performance could be prior distinction; obtain dates and concrete outcomes.</x:v>
      </x:c>
      <x:c r="I32" s="3" t="str">
        <x:v>Competition record: age, result and occupation; no full early-life review</x:v>
      </x:c>
      <x:c r="J32" s="16" t="str">
        <x:v>https://en.wikipedia.org/wiki/MasterChef_Australia_series_13</x:v>
      </x:c>
      <x:c r="K32" s="16" t="str"/>
      <x:c r="L32" s="16" t="str"/>
      <x:c r="M32" s="3" t="str">
        <x:v>Not cleared for first-excellence claim</x:v>
      </x:c>
    </x:row>
    <x:row r="33" ht="118" customHeight="1">
      <x:c r="A33" s="3" t="str">
        <x:v>118</x:v>
      </x:c>
      <x:c r="B33" s="12" t="str">
        <x:v>Pete Campbell</x:v>
      </x:c>
      <x:c r="C33" s="3" t="str">
        <x:v>Cooking</x:v>
      </x:c>
      <x:c r="D33" s="3" t="str">
        <x:v>C</x:v>
      </x:c>
      <x:c r="E33" s="3" t="str">
        <x:v>36</x:v>
      </x:c>
      <x:c r="F33" s="3" t="str">
        <x:v>2021 MasterChef Australia runner-up.</x:v>
      </x:c>
      <x:c r="G33" s="3" t="str">
        <x:v>Tattoo artist.</x:v>
      </x:c>
      <x:c r="H33" s="14" t="str">
        <x:v>Professional artistic output may already qualify as earlier excellence; cannot use culinary debut as first all-domain proof.</x:v>
      </x:c>
      <x:c r="I33" s="3" t="str">
        <x:v>Competition record: age, result and occupation; no full early-life review</x:v>
      </x:c>
      <x:c r="J33" s="16" t="str">
        <x:v>https://en.wikipedia.org/wiki/MasterChef_Australia_series_13</x:v>
      </x:c>
      <x:c r="K33" s="16" t="str"/>
      <x:c r="L33" s="16" t="str"/>
      <x:c r="M33" s="3" t="str">
        <x:v>Not cleared for first-excellence claim</x:v>
      </x:c>
    </x:row>
    <x:row r="34" ht="118" customHeight="1">
      <x:c r="A34" s="3" t="str">
        <x:v>122</x:v>
      </x:c>
      <x:c r="B34" s="12" t="str">
        <x:v>Greg Davies</x:v>
      </x:c>
      <x:c r="C34" s="3" t="str">
        <x:v>Comedy</x:v>
      </x:c>
      <x:c r="D34" s="3" t="str">
        <x:v>C</x:v>
      </x:c>
      <x:c r="E34" s="3" t="str">
        <x:v>34–35</x:v>
      </x:c>
      <x:c r="F34" s="3" t="str">
        <x:v>A credited television role in 2003 preceded his later comedy breakthrough.</x:v>
      </x:c>
      <x:c r="G34" s="3" t="str">
        <x:v>Drama and English graduate; spent thirteen years teaching.</x:v>
      </x:c>
      <x:c r="H34" s="14" t="str">
        <x:v>A small TV role may be below the threshold; earlier theatrical work and teaching distinctions require audit.</x:v>
      </x:c>
      <x:c r="I34" s="3" t="str">
        <x:v>Biographical desk screen; incomplete pre-26 coverage</x:v>
      </x:c>
      <x:c r="J34" s="16" t="str">
        <x:v>https://en.wikipedia.org/wiki/Greg_Davies</x:v>
      </x:c>
      <x:c r="K34" s="16" t="str"/>
      <x:c r="L34" s="16" t="str"/>
      <x:c r="M34" s="3" t="str">
        <x:v>Not cleared for first-excellence claim</x:v>
      </x:c>
    </x:row>
    <x:row r="35" ht="118" customHeight="1">
      <x:c r="A35" s="3" t="str">
        <x:v>123</x:v>
      </x:c>
      <x:c r="B35" s="12" t="str">
        <x:v>Frank Skinner</x:v>
      </x:c>
      <x:c r="C35" s="3" t="str">
        <x:v>Comedy</x:v>
      </x:c>
      <x:c r="D35" s="3" t="str">
        <x:v>C</x:v>
      </x:c>
      <x:c r="E35" s="3" t="str">
        <x:v>31</x:v>
      </x:c>
      <x:c r="F35" s="3" t="str">
        <x:v>Television debut in 1988 preceded the 1991 Perrier Award at 34.</x:v>
      </x:c>
      <x:c r="G35" s="3" t="str">
        <x:v>English degree, postgraduate study and teaching before stand-up.</x:v>
      </x:c>
      <x:c r="H35" s="14" t="str">
        <x:v>Earlier academic honours may already qualify; verify results and dates before describing him as first-excellence-in-adulthood.</x:v>
      </x:c>
      <x:c r="I35" s="3" t="str">
        <x:v>Biographical desk screen; incomplete pre-26 coverage</x:v>
      </x:c>
      <x:c r="J35" s="16" t="str">
        <x:v>https://en.wikipedia.org/wiki/Frank_Skinner</x:v>
      </x:c>
      <x:c r="K35" s="16" t="str"/>
      <x:c r="L35" s="16" t="str"/>
      <x:c r="M35" s="3" t="str">
        <x:v>Not cleared for first-excellence claim</x:v>
      </x:c>
    </x:row>
    <x:row r="36" ht="118" customHeight="1">
      <x:c r="A36" s="3" t="str">
        <x:v>130</x:v>
      </x:c>
      <x:c r="B36" s="12" t="str">
        <x:v>Purvis Young</x:v>
      </x:c>
      <x:c r="C36" s="3" t="str">
        <x:v>Visual art</x:v>
      </x:c>
      <x:c r="D36" s="3" t="str">
        <x:v>C</x:v>
      </x:c>
      <x:c r="E36" s="3" t="str">
        <x:v>28 at project start; proof date unresolved</x:v>
      </x:c>
      <x:c r="F36" s="3" t="str">
        <x:v>Goodbread Alley public paintings began around 1971 and attracted outside attention.</x:v>
      </x:c>
      <x:c r="G36" s="3" t="str">
        <x:v>Learned drawing in childhood; returned to art during imprisonment.</x:v>
      </x:c>
      <x:c r="H36" s="14" t="str">
        <x:v>Date the first external selection or meaningful sale and examine teenage art. Public display alone does not establish the required distinction.</x:v>
      </x:c>
      <x:c r="I36" s="3" t="str">
        <x:v>Biographical desk screen; incomplete pre-26 coverage</x:v>
      </x:c>
      <x:c r="J36" s="16" t="str">
        <x:v>https://www.soulsgrowndeep.org/artist/purvis-young</x:v>
      </x:c>
      <x:c r="K36" s="16" t="str">
        <x:v>https://www.studiomuseum.org/artists/purvis-young</x:v>
      </x:c>
      <x:c r="L36" s="16" t="str">
        <x:v>https://en.wikipedia.org/wiki/Purvis_Young</x:v>
      </x:c>
      <x:c r="M36" s="3" t="str">
        <x:v>Not cleared for first-excellence claim</x:v>
      </x:c>
    </x:row>
    <x:row r="37" ht="118" customHeight="1">
      <x:c r="A37" s="3" t="str">
        <x:v>136</x:v>
      </x:c>
      <x:c r="B37" s="12" t="str">
        <x:v>Lucy Foley</x:v>
      </x:c>
      <x:c r="C37" s="3" t="str">
        <x:v>Fiction</x:v>
      </x:c>
      <x:c r="D37" s="3" t="str">
        <x:v>C</x:v>
      </x:c>
      <x:c r="E37" s="3" t="str">
        <x:v>28–29</x:v>
      </x:c>
      <x:c r="F37" s="3" t="str">
        <x:v>The Book of Lost and Found was published in 2015.</x:v>
      </x:c>
      <x:c r="G37" s="3" t="str">
        <x:v>English study at UCL and Durham; publishing-editor work before novels.</x:v>
      </x:c>
      <x:c r="H37" s="14" t="str">
        <x:v>Earlier selective academic outcomes and editorial achievements may be the actual first proof; resolve before inclusion.</x:v>
      </x:c>
      <x:c r="I37" s="3" t="str">
        <x:v>Biographical desk screen; incomplete pre-26 coverage</x:v>
      </x:c>
      <x:c r="J37" s="16" t="str">
        <x:v>https://en.wikipedia.org/wiki/Lucy_Foley</x:v>
      </x:c>
      <x:c r="K37" s="16" t="str"/>
      <x:c r="L37" s="16" t="str"/>
      <x:c r="M37" s="3" t="str">
        <x:v>Not cleared for first-excellence claim</x:v>
      </x:c>
    </x:row>
  </x:sheetData>
  <x:conditionalFormatting sqref="D2:D37">
    <x:cfRule type="expression" dxfId="2" priority="1">
      <x:formula>D2="A"</x:formula>
    </x:cfRule>
    <x:cfRule type="expression" dxfId="3" priority="2">
      <x:formula>D2="C"</x:formula>
    </x:cfRule>
  </x:conditionalFormatting>
  <x:dataValidations count="1">
    <x:dataValidation type="list" sqref="D2:D37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b9cbcaffc445e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40" hidden="0" customWidth="1"/>
    <x:col min="4" max="4" width="40" hidden="0" customWidth="1"/>
  </x:cols>
  <x:sheetData>
    <x:row r="1" ht="34" customHeight="1">
      <x:c r="A1" s="8" t="str">
        <x:v>Source ID</x:v>
      </x:c>
      <x:c r="B1" s="8" t="str">
        <x:v>Domain</x:v>
      </x:c>
      <x:c r="C1" s="8" t="str">
        <x:v>Source URL</x:v>
      </x:c>
      <x:c r="D1" s="8" t="str">
        <x:v>Relevant people / stable IDs</x:v>
      </x:c>
    </x:row>
    <x:row r="2" ht="98" customHeight="1">
      <x:c r="A2" s="3" t="str">
        <x:v>S001</x:v>
      </x:c>
      <x:c r="B2" s="3" t="str">
        <x:v>anncleeves.com</x:v>
      </x:c>
      <x:c r="C2" s="16" t="str">
        <x:v>https://anncleeves.com/bio.html</x:v>
      </x:c>
      <x:c r="D2" s="3" t="str">
        <x:v>016 Ann Cleeves</x:v>
      </x:c>
    </x:row>
    <x:row r="3" ht="98" customHeight="1">
      <x:c r="A3" s="3" t="str">
        <x:v>S002</x:v>
      </x:c>
      <x:c r="B3" s="3" t="str">
        <x:v>athleticsweekly.com</x:v>
      </x:c>
      <x:c r="C3" s="16" t="str">
        <x:v>https://athleticsweekly.com/news/interviews/tracy-barlow-journey-sprinter-to-gb-marathoner-61955/</x:v>
      </x:c>
      <x:c r="D3" s="3" t="str">
        <x:v>007 Tracy Barlow</x:v>
      </x:c>
    </x:row>
    <x:row r="4" ht="98" customHeight="1">
      <x:c r="A4" s="3" t="str">
        <x:v>S003</x:v>
      </x:c>
      <x:c r="B4" s="3" t="str">
        <x:v>books.google.com</x:v>
      </x:c>
      <x:c r="C4" s="16" t="str">
        <x:v>https://books.google.com/books/about/All_Things_Are_Possible.html?id=cDJ56fTHqNYC</x:v>
      </x:c>
      <x:c r="D4" s="3" t="str">
        <x:v>125 Sue Monk Kidd</x:v>
      </x:c>
    </x:row>
    <x:row r="5" ht="98" customHeight="1">
      <x:c r="A5" s="3" t="str">
        <x:v>S004</x:v>
      </x:c>
      <x:c r="B5" s="3" t="str">
        <x:v>catholicleader.com.au</x:v>
      </x:c>
      <x:c r="C5" s="16" t="str">
        <x:v>https://catholicleader.com.au/life/family/faith-is-the-key-ingredient-in-julies-life_54304/</x:v>
      </x:c>
      <x:c r="D5" s="3" t="str">
        <x:v>034 Julie Goodwin</x:v>
      </x:c>
    </x:row>
    <x:row r="6" ht="98" customHeight="1">
      <x:c r="A6" s="3" t="str">
        <x:v>S005</x:v>
      </x:c>
      <x:c r="B6" s="3" t="str">
        <x:v>creativeloafing.com</x:v>
      </x:c>
      <x:c r="C6" s="16" t="str">
        <x:v>https://creativeloafing.com/content-185685-cover-story-subject-mailchimp</x:v>
      </x:c>
      <x:c r="D6" s="3" t="str">
        <x:v>131 Ben Chestnut</x:v>
      </x:c>
    </x:row>
    <x:row r="7" ht="98" customHeight="1">
      <x:c r="A7" s="3" t="str">
        <x:v>S006</x:v>
      </x:c>
      <x:c r="B7" s="3" t="str">
        <x:v>divyaprakash.in</x:v>
      </x:c>
      <x:c r="C7" s="16" t="str">
        <x:v>https://divyaprakash.in/about-me/</x:v>
      </x:c>
      <x:c r="D7" s="3" t="str">
        <x:v>021 Divya Prakash Dubey</x:v>
      </x:c>
    </x:row>
    <x:row r="8" ht="98" customHeight="1">
      <x:c r="A8" s="3" t="str">
        <x:v>S007</x:v>
      </x:c>
      <x:c r="B8" s="3" t="str">
        <x:v>en.wikipedia.org</x:v>
      </x:c>
      <x:c r="C8" s="16" t="str">
        <x:v>https://en.wikipedia.org/wiki/%C3%85sa_Larsson</x:v>
      </x:c>
      <x:c r="D8" s="3" t="str">
        <x:v>072 Åsa Larsson</x:v>
      </x:c>
    </x:row>
    <x:row r="9" ht="98" customHeight="1">
      <x:c r="A9" s="3" t="str">
        <x:v>S008</x:v>
      </x:c>
      <x:c r="B9" s="3" t="str">
        <x:v>en.wikipedia.org</x:v>
      </x:c>
      <x:c r="C9" s="16" t="str">
        <x:v>https://en.wikipedia.org/wiki/Anand_Neelakantan</x:v>
      </x:c>
      <x:c r="D9" s="3" t="str">
        <x:v>050 Anand Neelakantan</x:v>
      </x:c>
    </x:row>
    <x:row r="10" ht="98" customHeight="1">
      <x:c r="A10" s="3" t="str">
        <x:v>S009</x:v>
      </x:c>
      <x:c r="B10" s="3" t="str">
        <x:v>en.wikipedia.org</x:v>
      </x:c>
      <x:c r="C10" s="16" t="str">
        <x:v>https://en.wikipedia.org/wiki/Anita_Shreve</x:v>
      </x:c>
      <x:c r="D10" s="3" t="str">
        <x:v>073 Anita Shreve</x:v>
      </x:c>
    </x:row>
    <x:row r="11" ht="98" customHeight="1">
      <x:c r="A11" s="3" t="str">
        <x:v>S010</x:v>
      </x:c>
      <x:c r="B11" s="3" t="str">
        <x:v>en.wikipedia.org</x:v>
      </x:c>
      <x:c r="C11" s="16" t="str">
        <x:v>https://en.wikipedia.org/wiki/Ann_Maxwell</x:v>
      </x:c>
      <x:c r="D11" s="3" t="str">
        <x:v>064 Ann Maxwell / Elizabeth Lowell</x:v>
      </x:c>
    </x:row>
    <x:row r="12" ht="98" customHeight="1">
      <x:c r="A12" s="3" t="str">
        <x:v>S011</x:v>
      </x:c>
      <x:c r="B12" s="3" t="str">
        <x:v>en.wikipedia.org</x:v>
      </x:c>
      <x:c r="C12" s="16" t="str">
        <x:v>https://en.wikipedia.org/wiki/Anuja_Chandramouli</x:v>
      </x:c>
      <x:c r="D12" s="3" t="str">
        <x:v>022 Anuja Chandramouli</x:v>
      </x:c>
    </x:row>
    <x:row r="13" ht="98" customHeight="1">
      <x:c r="A13" s="3" t="str">
        <x:v>S012</x:v>
      </x:c>
      <x:c r="B13" s="3" t="str">
        <x:v>en.wikipedia.org</x:v>
      </x:c>
      <x:c r="C13" s="16" t="str">
        <x:v>https://en.wikipedia.org/wiki/Ben_Chestnut</x:v>
      </x:c>
      <x:c r="D13" s="3" t="str">
        <x:v>131 Ben Chestnut</x:v>
      </x:c>
    </x:row>
    <x:row r="14" ht="98" customHeight="1">
      <x:c r="A14" s="3" t="str">
        <x:v>S013</x:v>
      </x:c>
      <x:c r="B14" s="3" t="str">
        <x:v>en.wikipedia.org</x:v>
      </x:c>
      <x:c r="C14" s="16" t="str">
        <x:v>https://en.wikipedia.org/wiki/Brent_Draper</x:v>
      </x:c>
      <x:c r="D14" s="3" t="str">
        <x:v>039 Brent Draper</x:v>
      </x:c>
    </x:row>
    <x:row r="15" ht="98" customHeight="1">
      <x:c r="A15" s="3" t="str">
        <x:v>S014</x:v>
      </x:c>
      <x:c r="B15" s="3" t="str">
        <x:v>en.wikipedia.org</x:v>
      </x:c>
      <x:c r="C15" s="16" t="str">
        <x:v>https://en.wikipedia.org/wiki/Brent_Weeks</x:v>
      </x:c>
      <x:c r="D15" s="3" t="str">
        <x:v>017 Brent Weeks</x:v>
      </x:c>
    </x:row>
    <x:row r="16" ht="98" customHeight="1">
      <x:c r="A16" s="3" t="str">
        <x:v>S015</x:v>
      </x:c>
      <x:c r="B16" s="3" t="str">
        <x:v>en.wikipedia.org</x:v>
      </x:c>
      <x:c r="C16" s="16" t="str">
        <x:v>https://en.wikipedia.org/wiki/Camilla_L%C3%A4ckberg</x:v>
      </x:c>
      <x:c r="D16" s="3" t="str">
        <x:v>044 Camilla Läckberg</x:v>
      </x:c>
    </x:row>
    <x:row r="17" ht="98" customHeight="1">
      <x:c r="A17" s="3" t="str">
        <x:v>S016</x:v>
      </x:c>
      <x:c r="B17" s="3" t="str">
        <x:v>en.wikipedia.org</x:v>
      </x:c>
      <x:c r="C17" s="16" t="str">
        <x:v>https://en.wikipedia.org/wiki/Carole_Matthews</x:v>
      </x:c>
      <x:c r="D17" s="3" t="str">
        <x:v>067 Carole Matthews</x:v>
      </x:c>
    </x:row>
    <x:row r="18" ht="98" customHeight="1">
      <x:c r="A18" s="3" t="str">
        <x:v>S017</x:v>
      </x:c>
      <x:c r="B18" s="3" t="str">
        <x:v>en.wikipedia.org</x:v>
      </x:c>
      <x:c r="C18" s="16" t="str">
        <x:v>https://en.wikipedia.org/wiki/Catherine_Coulter</x:v>
      </x:c>
      <x:c r="D18" s="3" t="str">
        <x:v>068 Catherine Coulter</x:v>
      </x:c>
    </x:row>
    <x:row r="19" ht="98" customHeight="1">
      <x:c r="A19" s="3" t="str">
        <x:v>S018</x:v>
      </x:c>
      <x:c r="B19" s="3" t="str">
        <x:v>en.wikipedia.org</x:v>
      </x:c>
      <x:c r="C19" s="16" t="str">
        <x:v>https://en.wikipedia.org/wiki/Dan_McLaughlin_(golfer)</x:v>
      </x:c>
      <x:c r="D19" s="3" t="str">
        <x:v>012 Dan McLaughlin</x:v>
      </x:c>
    </x:row>
    <x:row r="20" ht="98" customHeight="1">
      <x:c r="A20" s="3" t="str">
        <x:v>S019</x:v>
      </x:c>
      <x:c r="B20" s="3" t="str">
        <x:v>en.wikipedia.org</x:v>
      </x:c>
      <x:c r="C20" s="16" t="str">
        <x:v>https://en.wikipedia.org/wiki/Dashiell_Hammett</x:v>
      </x:c>
      <x:c r="D20" s="3" t="str">
        <x:v>127 Dashiell Hammett</x:v>
      </x:c>
    </x:row>
    <x:row r="21" ht="98" customHeight="1">
      <x:c r="A21" s="3" t="str">
        <x:v>S020</x:v>
      </x:c>
      <x:c r="B21" s="3" t="str">
        <x:v>en.wikipedia.org</x:v>
      </x:c>
      <x:c r="C21" s="16" t="str">
        <x:v>https://en.wikipedia.org/wiki/David_Baldacci</x:v>
      </x:c>
      <x:c r="D21" s="3" t="str">
        <x:v>055 David Baldacci</x:v>
      </x:c>
    </x:row>
    <x:row r="22" ht="98" customHeight="1">
      <x:c r="A22" s="3" t="str">
        <x:v>S021</x:v>
      </x:c>
      <x:c r="B22" s="3" t="str">
        <x:v>en.wikipedia.org</x:v>
      </x:c>
      <x:c r="C22" s="16" t="str">
        <x:v>https://en.wikipedia.org/wiki/Debbie_Macomber</x:v>
      </x:c>
      <x:c r="D22" s="3" t="str">
        <x:v>014 Debbie Macomber</x:v>
      </x:c>
    </x:row>
    <x:row r="23" ht="98" customHeight="1">
      <x:c r="A23" s="3" t="str">
        <x:v>S022</x:v>
      </x:c>
      <x:c r="B23" s="3" t="str">
        <x:v>en.wikipedia.org</x:v>
      </x:c>
      <x:c r="C23" s="16" t="str">
        <x:v>https://en.wikipedia.org/wiki/Dennis_Lehane</x:v>
      </x:c>
      <x:c r="D23" s="3" t="str">
        <x:v>057 Dennis Lehane</x:v>
      </x:c>
    </x:row>
    <x:row r="24" ht="98" customHeight="1">
      <x:c r="A24" s="3" t="str">
        <x:v>S023</x:v>
      </x:c>
      <x:c r="B24" s="3" t="str">
        <x:v>en.wikipedia.org</x:v>
      </x:c>
      <x:c r="C24" s="16" t="str">
        <x:v>https://en.wikipedia.org/wiki/Diana_Chan</x:v>
      </x:c>
      <x:c r="D24" s="3" t="str">
        <x:v>037 Diana Chan</x:v>
      </x:c>
    </x:row>
    <x:row r="25" ht="98" customHeight="1">
      <x:c r="A25" s="3" t="str">
        <x:v>S024</x:v>
      </x:c>
      <x:c r="B25" s="3" t="str">
        <x:v>en.wikipedia.org</x:v>
      </x:c>
      <x:c r="C25" s="16" t="str">
        <x:v>https://en.wikipedia.org/wiki/Divya_Prakash_Dubey</x:v>
      </x:c>
      <x:c r="D25" s="3" t="str">
        <x:v>021 Divya Prakash Dubey</x:v>
      </x:c>
    </x:row>
    <x:row r="26" ht="98" customHeight="1">
      <x:c r="A26" s="3" t="str">
        <x:v>S025</x:v>
      </x:c>
      <x:c r="B26" s="3" t="str">
        <x:v>en.wikipedia.org</x:v>
      </x:c>
      <x:c r="C26" s="16" t="str">
        <x:v>https://en.wikipedia.org/wiki/Elizabeth_Strout</x:v>
      </x:c>
      <x:c r="D26" s="3" t="str">
        <x:v>070 Elizabeth Strout</x:v>
      </x:c>
    </x:row>
    <x:row r="27" ht="98" customHeight="1">
      <x:c r="A27" s="3" t="str">
        <x:v>S026</x:v>
      </x:c>
      <x:c r="B27" s="3" t="str">
        <x:v>en.wikipedia.org</x:v>
      </x:c>
      <x:c r="C27" s="16" t="str">
        <x:v>https://en.wikipedia.org/wiki/Frank_Skinner</x:v>
      </x:c>
      <x:c r="D27" s="3" t="str">
        <x:v>123 Frank Skinner</x:v>
      </x:c>
    </x:row>
    <x:row r="28" ht="98" customHeight="1">
      <x:c r="A28" s="3" t="str">
        <x:v>S027</x:v>
      </x:c>
      <x:c r="B28" s="3" t="str">
        <x:v>en.wikipedia.org</x:v>
      </x:c>
      <x:c r="C28" s="16" t="str">
        <x:v>https://en.wikipedia.org/wiki/Greg_Davies</x:v>
      </x:c>
      <x:c r="D28" s="3" t="str">
        <x:v>122 Greg Davies</x:v>
      </x:c>
    </x:row>
    <x:row r="29" ht="98" customHeight="1">
      <x:c r="A29" s="3" t="str">
        <x:v>S028</x:v>
      </x:c>
      <x:c r="B29" s="3" t="str">
        <x:v>en.wikipedia.org</x:v>
      </x:c>
      <x:c r="C29" s="16" t="str">
        <x:v>https://en.wikipedia.org/wiki/Harlan_Coben</x:v>
      </x:c>
      <x:c r="D29" s="3" t="str">
        <x:v>056 Harlan Coben</x:v>
      </x:c>
    </x:row>
    <x:row r="30" ht="98" customHeight="1">
      <x:c r="A30" s="3" t="str">
        <x:v>S029</x:v>
      </x:c>
      <x:c r="B30" s="3" t="str">
        <x:v>en.wikipedia.org</x:v>
      </x:c>
      <x:c r="C30" s="16" t="str">
        <x:v>https://en.wikipedia.org/wiki/Haruki_Murakami</x:v>
      </x:c>
      <x:c r="D30" s="3" t="str">
        <x:v>053 Haruki Murakami</x:v>
      </x:c>
    </x:row>
    <x:row r="31" ht="98" customHeight="1">
      <x:c r="A31" s="3" t="str">
        <x:v>S030</x:v>
      </x:c>
      <x:c r="B31" s="3" t="str">
        <x:v>en.wikipedia.org</x:v>
      </x:c>
      <x:c r="C31" s="16" t="str">
        <x:v>https://en.wikipedia.org/wiki/Hiro_Arikawa</x:v>
      </x:c>
      <x:c r="D31" s="3" t="str">
        <x:v>048 Hiro Arikawa</x:v>
      </x:c>
    </x:row>
    <x:row r="32" ht="98" customHeight="1">
      <x:c r="A32" s="3" t="str">
        <x:v>S031</x:v>
      </x:c>
      <x:c r="B32" s="3" t="str">
        <x:v>en.wikipedia.org</x:v>
      </x:c>
      <x:c r="C32" s="16" t="str">
        <x:v>https://en.wikipedia.org/wiki/Hiroko_Oyamada</x:v>
      </x:c>
      <x:c r="D32" s="3" t="str">
        <x:v>047 Hiroko Oyamada</x:v>
      </x:c>
    </x:row>
    <x:row r="33" ht="98" customHeight="1">
      <x:c r="A33" s="3" t="str">
        <x:v>S032</x:v>
      </x:c>
      <x:c r="B33" s="3" t="str">
        <x:v>en.wikipedia.org</x:v>
      </x:c>
      <x:c r="C33" s="16" t="str">
        <x:v>https://en.wikipedia.org/wiki/Jack_Foster_(athlete)</x:v>
      </x:c>
      <x:c r="D33" s="3" t="str">
        <x:v>008 Jack Foster</x:v>
      </x:c>
    </x:row>
    <x:row r="34" ht="98" customHeight="1">
      <x:c r="A34" s="3" t="str">
        <x:v>S033</x:v>
      </x:c>
      <x:c r="B34" s="3" t="str">
        <x:v>en.wikipedia.org</x:v>
      </x:c>
      <x:c r="C34" s="16" t="str">
        <x:v>https://en.wikipedia.org/wiki/James_Dashner</x:v>
      </x:c>
      <x:c r="D34" s="3" t="str">
        <x:v>126 James Dashner</x:v>
      </x:c>
    </x:row>
    <x:row r="35" ht="98" customHeight="1">
      <x:c r="A35" s="3" t="str">
        <x:v>S034</x:v>
      </x:c>
      <x:c r="B35" s="3" t="str">
        <x:v>en.wikipedia.org</x:v>
      </x:c>
      <x:c r="C35" s="16" t="str">
        <x:v>https://en.wikipedia.org/wiki/Jayne_Ann_Krentz</x:v>
      </x:c>
      <x:c r="D35" s="3" t="str">
        <x:v>060 Jayne Ann Krentz</x:v>
      </x:c>
    </x:row>
    <x:row r="36" ht="98" customHeight="1">
      <x:c r="A36" s="3" t="str">
        <x:v>S035</x:v>
      </x:c>
      <x:c r="B36" s="3" t="str">
        <x:v>en.wikipedia.org</x:v>
      </x:c>
      <x:c r="C36" s="16" t="str">
        <x:v>https://en.wikipedia.org/wiki/Jill_Mansell</x:v>
      </x:c>
      <x:c r="D36" s="3" t="str">
        <x:v>066 Jill Mansell</x:v>
      </x:c>
    </x:row>
    <x:row r="37" ht="98" customHeight="1">
      <x:c r="A37" s="3" t="str">
        <x:v>S036</x:v>
      </x:c>
      <x:c r="B37" s="3" t="str">
        <x:v>en.wikipedia.org</x:v>
      </x:c>
      <x:c r="C37" s="16" t="str">
        <x:v>https://en.wikipedia.org/wiki/Joe_Abercrombie</x:v>
      </x:c>
      <x:c r="D37" s="3" t="str">
        <x:v>054 Joe Abercrombie</x:v>
      </x:c>
    </x:row>
    <x:row r="38" ht="98" customHeight="1">
      <x:c r="A38" s="3" t="str">
        <x:v>S037</x:v>
      </x:c>
      <x:c r="B38" s="3" t="str">
        <x:v>en.wikipedia.org</x:v>
      </x:c>
      <x:c r="C38" s="16" t="str">
        <x:v>https://en.wikipedia.org/wiki/Justin_Narayan</x:v>
      </x:c>
      <x:c r="D38" s="3" t="str">
        <x:v>038 Justin Narayan</x:v>
      </x:c>
    </x:row>
    <x:row r="39" ht="98" customHeight="1">
      <x:c r="A39" s="3" t="str">
        <x:v>S038</x:v>
      </x:c>
      <x:c r="B39" s="3" t="str">
        <x:v>en.wikipedia.org</x:v>
      </x:c>
      <x:c r="C39" s="16" t="str">
        <x:v>https://en.wikipedia.org/wiki/Karel_Sabbe</x:v>
      </x:c>
      <x:c r="D39" s="3" t="str">
        <x:v>011 Karel Sabbe</x:v>
      </x:c>
    </x:row>
    <x:row r="40" ht="98" customHeight="1">
      <x:c r="A40" s="3" t="str">
        <x:v>S039</x:v>
      </x:c>
      <x:c r="B40" s="3" t="str">
        <x:v>en.wikipedia.org</x:v>
      </x:c>
      <x:c r="C40" s="16" t="str">
        <x:v>https://en.wikipedia.org/wiki/Karin_Slaughter</x:v>
      </x:c>
      <x:c r="D40" s="3" t="str">
        <x:v>049 Karin Slaughter</x:v>
      </x:c>
    </x:row>
    <x:row r="41" ht="98" customHeight="1">
      <x:c r="A41" s="3" t="str">
        <x:v>S040</x:v>
      </x:c>
      <x:c r="B41" s="3" t="str">
        <x:v>en.wikipedia.org</x:v>
      </x:c>
      <x:c r="C41" s="16" t="str">
        <x:v>https://en.wikipedia.org/wiki/Kate_Bracks</x:v>
      </x:c>
      <x:c r="D41" s="3" t="str">
        <x:v>036 Kate Bracks</x:v>
      </x:c>
    </x:row>
    <x:row r="42" ht="98" customHeight="1">
      <x:c r="A42" s="3" t="str">
        <x:v>S041</x:v>
      </x:c>
      <x:c r="B42" s="3" t="str">
        <x:v>en.wikipedia.org</x:v>
      </x:c>
      <x:c r="C42" s="16" t="str">
        <x:v>https://en.wikipedia.org/wiki/Kathleen_E._Woodiwiss</x:v>
      </x:c>
      <x:c r="D42" s="3" t="str">
        <x:v>059 Kathleen E. Woodiwiss</x:v>
      </x:c>
    </x:row>
    <x:row r="43" ht="98" customHeight="1">
      <x:c r="A43" s="3" t="str">
        <x:v>S042</x:v>
      </x:c>
      <x:c r="B43" s="3" t="str">
        <x:v>en.wikipedia.org</x:v>
      </x:c>
      <x:c r="C43" s="16" t="str">
        <x:v>https://en.wikipedia.org/wiki/Keigo_Higashino</x:v>
      </x:c>
      <x:c r="D43" s="3" t="str">
        <x:v>024 Keigo Higashino</x:v>
      </x:c>
    </x:row>
    <x:row r="44" ht="98" customHeight="1">
      <x:c r="A44" s="3" t="str">
        <x:v>S043</x:v>
      </x:c>
      <x:c r="B44" s="3" t="str">
        <x:v>en.wikipedia.org</x:v>
      </x:c>
      <x:c r="C44" s="16" t="str">
        <x:v>https://en.wikipedia.org/wiki/Kristin_Hannah</x:v>
      </x:c>
      <x:c r="D44" s="3" t="str">
        <x:v>041 Kristin Hannah</x:v>
      </x:c>
    </x:row>
    <x:row r="45" ht="98" customHeight="1">
      <x:c r="A45" s="3" t="str">
        <x:v>S044</x:v>
      </x:c>
      <x:c r="B45" s="3" t="str">
        <x:v>en.wikipedia.org</x:v>
      </x:c>
      <x:c r="C45" s="16" t="str">
        <x:v>https://en.wikipedia.org/wiki/LaVyrle_Spencer</x:v>
      </x:c>
      <x:c r="D45" s="3" t="str">
        <x:v>058 LaVyrle Spencer</x:v>
      </x:c>
    </x:row>
    <x:row r="46" ht="98" customHeight="1">
      <x:c r="A46" s="3" t="str">
        <x:v>S045</x:v>
      </x:c>
      <x:c r="B46" s="3" t="str">
        <x:v>en.wikipedia.org</x:v>
      </x:c>
      <x:c r="C46" s="16" t="str">
        <x:v>https://en.wikipedia.org/wiki/Larry_Brown_(writer)</x:v>
      </x:c>
      <x:c r="D46" s="3" t="str">
        <x:v>052 Larry Brown</x:v>
      </x:c>
    </x:row>
    <x:row r="47" ht="98" customHeight="1">
      <x:c r="A47" s="3" t="str">
        <x:v>S046</x:v>
      </x:c>
      <x:c r="B47" s="3" t="str">
        <x:v>en.wikipedia.org</x:v>
      </x:c>
      <x:c r="C47" s="16" t="str">
        <x:v>https://en.wikipedia.org/wiki/Lee_Mack</x:v>
      </x:c>
      <x:c r="D47" s="3" t="str">
        <x:v>120 Lee Mack</x:v>
      </x:c>
    </x:row>
    <x:row r="48" ht="98" customHeight="1">
      <x:c r="A48" s="3" t="str">
        <x:v>S047</x:v>
      </x:c>
      <x:c r="B48" s="3" t="str">
        <x:v>en.wikipedia.org</x:v>
      </x:c>
      <x:c r="C48" s="16" t="str">
        <x:v>https://en.wikipedia.org/wiki/Linda_Howard</x:v>
      </x:c>
      <x:c r="D48" s="3" t="str">
        <x:v>042 Linda Howard</x:v>
      </x:c>
    </x:row>
    <x:row r="49" ht="98" customHeight="1">
      <x:c r="A49" s="3" t="str">
        <x:v>S048</x:v>
      </x:c>
      <x:c r="B49" s="3" t="str">
        <x:v>en.wikipedia.org</x:v>
      </x:c>
      <x:c r="C49" s="16" t="str">
        <x:v>https://en.wikipedia.org/wiki/Liu_Cixin</x:v>
      </x:c>
      <x:c r="D49" s="3" t="str">
        <x:v>071 Liu Cixin</x:v>
      </x:c>
    </x:row>
    <x:row r="50" ht="98" customHeight="1">
      <x:c r="A50" s="3" t="str">
        <x:v>S049</x:v>
      </x:c>
      <x:c r="B50" s="3" t="str">
        <x:v>en.wikipedia.org</x:v>
      </x:c>
      <x:c r="C50" s="16" t="str">
        <x:v>https://en.wikipedia.org/wiki/Lonnie_Holley</x:v>
      </x:c>
      <x:c r="D50" s="3" t="str">
        <x:v>129 Lonnie Holley</x:v>
      </x:c>
    </x:row>
    <x:row r="51" ht="98" customHeight="1">
      <x:c r="A51" s="3" t="str">
        <x:v>S050</x:v>
      </x:c>
      <x:c r="B51" s="3" t="str">
        <x:v>en.wikipedia.org</x:v>
      </x:c>
      <x:c r="C51" s="16" t="str">
        <x:v>https://en.wikipedia.org/wiki/Loretta_Chase</x:v>
      </x:c>
      <x:c r="D51" s="3" t="str">
        <x:v>043 Loretta Chase</x:v>
      </x:c>
    </x:row>
    <x:row r="52" ht="98" customHeight="1">
      <x:c r="A52" s="3" t="str">
        <x:v>S051</x:v>
      </x:c>
      <x:c r="B52" s="3" t="str">
        <x:v>en.wikipedia.org</x:v>
      </x:c>
      <x:c r="C52" s="16" t="str">
        <x:v>https://en.wikipedia.org/wiki/Lucy_Foley</x:v>
      </x:c>
      <x:c r="D52" s="3" t="str">
        <x:v>136 Lucy Foley</x:v>
      </x:c>
    </x:row>
    <x:row r="53" ht="98" customHeight="1">
      <x:c r="A53" s="3" t="str">
        <x:v>S052</x:v>
      </x:c>
      <x:c r="B53" s="3" t="str">
        <x:v>en.wikipedia.org</x:v>
      </x:c>
      <x:c r="C53" s="16" t="str">
        <x:v>https://en.wikipedia.org/wiki/Lynne_Graham</x:v>
      </x:c>
      <x:c r="D53" s="3" t="str">
        <x:v>063 Lynne Graham</x:v>
      </x:c>
    </x:row>
    <x:row r="54" ht="98" customHeight="1">
      <x:c r="A54" s="3" t="str">
        <x:v>S053</x:v>
      </x:c>
      <x:c r="B54" s="3" t="str">
        <x:v>en.wikipedia.org</x:v>
      </x:c>
      <x:c r="C54" s="16" t="str">
        <x:v>https://en.wikipedia.org/wiki/Marian_Keyes</x:v>
      </x:c>
      <x:c r="D54" s="3" t="str">
        <x:v>065 Marian Keyes</x:v>
      </x:c>
    </x:row>
    <x:row r="55" ht="98" customHeight="1">
      <x:c r="A55" s="3" t="str">
        <x:v>S054</x:v>
      </x:c>
      <x:c r="B55" s="3" t="str">
        <x:v>en.wikipedia.org</x:v>
      </x:c>
      <x:c r="C55" s="16" t="str">
        <x:v>https://en.wikipedia.org/wiki/MasterChef_Australia_series_10</x:v>
      </x:c>
      <x:c r="D55" s="3" t="str">
        <x:v>103 Ben Borsht; 104 Chloe Carroll; 105 Reece Hignell</x:v>
      </x:c>
    </x:row>
    <x:row r="56" ht="98" customHeight="1">
      <x:c r="A56" s="3" t="str">
        <x:v>S055</x:v>
      </x:c>
      <x:c r="B56" s="3" t="str">
        <x:v>en.wikipedia.org</x:v>
      </x:c>
      <x:c r="C56" s="16" t="str">
        <x:v>https://en.wikipedia.org/wiki/MasterChef_Australia_series_11</x:v>
      </x:c>
      <x:c r="D56" s="3" t="str">
        <x:v>112 Tessa Boersma; 113 Simon Toohey; 114 Tim Bone</x:v>
      </x:c>
    </x:row>
    <x:row r="57" ht="98" customHeight="1">
      <x:c r="A57" s="3" t="str">
        <x:v>S056</x:v>
      </x:c>
      <x:c r="B57" s="3" t="str">
        <x:v>en.wikipedia.org</x:v>
      </x:c>
      <x:c r="C57" s="16" t="str">
        <x:v>https://en.wikipedia.org/wiki/MasterChef_Australia_series_13</x:v>
      </x:c>
      <x:c r="D57" s="3" t="str">
        <x:v>115 Elise Pulbrook; 116 Linda Dalrymple; 117 Kishwar Chowdhury; 118 Pete Campbell; 134 Tommy Pham; 135 Depinder Chhibber</x:v>
      </x:c>
    </x:row>
    <x:row r="58" ht="98" customHeight="1">
      <x:c r="A58" s="3" t="str">
        <x:v>S057</x:v>
      </x:c>
      <x:c r="B58" s="3" t="str">
        <x:v>en.wikipedia.org</x:v>
      </x:c>
      <x:c r="C58" s="16" t="str">
        <x:v>https://en.wikipedia.org/wiki/MasterChef_Australia_series_4</x:v>
      </x:c>
      <x:c r="D58" s="3" t="str">
        <x:v>107 Julia Taylor; 108 Mindy Woods; 109 Ben Milbourne</x:v>
      </x:c>
    </x:row>
    <x:row r="59" ht="98" customHeight="1">
      <x:c r="A59" s="3" t="str">
        <x:v>S058</x:v>
      </x:c>
      <x:c r="B59" s="3" t="str">
        <x:v>en.wikipedia.org</x:v>
      </x:c>
      <x:c r="C59" s="16" t="str">
        <x:v>https://en.wikipedia.org/wiki/MasterChef_Australia_series_7</x:v>
      </x:c>
      <x:c r="D59" s="3" t="str">
        <x:v>110 Georgia Barnes; 111 Jessica Arnott</x:v>
      </x:c>
    </x:row>
    <x:row r="60" ht="98" customHeight="1">
      <x:c r="A60" s="3" t="str">
        <x:v>S059</x:v>
      </x:c>
      <x:c r="B60" s="3" t="str">
        <x:v>en.wikipedia.org</x:v>
      </x:c>
      <x:c r="C60" s="16" t="str">
        <x:v>https://en.wikipedia.org/wiki/MasterChef_Australia_series_8</x:v>
      </x:c>
      <x:c r="D60" s="3" t="str">
        <x:v>098 Matt Sinclair; 099 Elise Franciskovic; 100 Mimi Baines; 101 Trent Harvey; 102 Elena Duggan</x:v>
      </x:c>
    </x:row>
    <x:row r="61" ht="98" customHeight="1">
      <x:c r="A61" s="3" t="str">
        <x:v>S060</x:v>
      </x:c>
      <x:c r="B61" s="3" t="str">
        <x:v>en.wikipedia.org</x:v>
      </x:c>
      <x:c r="C61" s="16" t="str">
        <x:v>https://en.wikipedia.org/wiki/MasterChef_Australia_series_9</x:v>
      </x:c>
      <x:c r="D61" s="3" t="str">
        <x:v>106 Sarah Tiong</x:v>
      </x:c>
    </x:row>
    <x:row r="62" ht="98" customHeight="1">
      <x:c r="A62" s="3" t="str">
        <x:v>S061</x:v>
      </x:c>
      <x:c r="B62" s="3" t="str">
        <x:v>en.wikipedia.org</x:v>
      </x:c>
      <x:c r="C62" s="16" t="str">
        <x:v>https://en.wikipedia.org/wiki/Micky_Flanagan</x:v>
      </x:c>
      <x:c r="D62" s="3" t="str">
        <x:v>121 Micky Flanagan</x:v>
      </x:c>
    </x:row>
    <x:row r="63" ht="98" customHeight="1">
      <x:c r="A63" s="3" t="str">
        <x:v>S062</x:v>
      </x:c>
      <x:c r="B63" s="3" t="str">
        <x:v>en.wikipedia.org</x:v>
      </x:c>
      <x:c r="C63" s="16" t="str">
        <x:v>https://en.wikipedia.org/wiki/Miyuki_Miyabe</x:v>
      </x:c>
      <x:c r="D63" s="3" t="str">
        <x:v>023 Miyuki Miyabe</x:v>
      </x:c>
    </x:row>
    <x:row r="64" ht="98" customHeight="1">
      <x:c r="A64" s="3" t="str">
        <x:v>S063</x:v>
      </x:c>
      <x:c r="B64" s="3" t="str">
        <x:v>en.wikipedia.org</x:v>
      </x:c>
      <x:c r="C64" s="16" t="str">
        <x:v>https://en.wikipedia.org/wiki/Nadiya_Hussain</x:v>
      </x:c>
      <x:c r="D64" s="3" t="str">
        <x:v>040 Nadiya Hussain</x:v>
      </x:c>
    </x:row>
    <x:row r="65" ht="98" customHeight="1">
      <x:c r="A65" s="3" t="str">
        <x:v>S064</x:v>
      </x:c>
      <x:c r="B65" s="3" t="str">
        <x:v>en.wikipedia.org</x:v>
      </x:c>
      <x:c r="C65" s="16" t="str">
        <x:v>https://en.wikipedia.org/wiki/Natalie_Coleman</x:v>
      </x:c>
      <x:c r="D65" s="3" t="str">
        <x:v>030 Natalie Coleman</x:v>
      </x:c>
    </x:row>
    <x:row r="66" ht="98" customHeight="1">
      <x:c r="A66" s="3" t="str">
        <x:v>S065</x:v>
      </x:c>
      <x:c r="B66" s="3" t="str">
        <x:v>en.wikipedia.org</x:v>
      </x:c>
      <x:c r="C66" s="16" t="str">
        <x:v>https://en.wikipedia.org/wiki/Nicky_Spinks</x:v>
      </x:c>
      <x:c r="D66" s="3" t="str">
        <x:v>004 Nicky Spinks</x:v>
      </x:c>
    </x:row>
    <x:row r="67" ht="98" customHeight="1">
      <x:c r="A67" s="3" t="str">
        <x:v>S066</x:v>
      </x:c>
      <x:c r="B67" s="3" t="str">
        <x:v>en.wikipedia.org</x:v>
      </x:c>
      <x:c r="C67" s="16" t="str">
        <x:v>https://en.wikipedia.org/wiki/Nora_Roberts</x:v>
      </x:c>
      <x:c r="D67" s="3" t="str">
        <x:v>013 Nora Roberts</x:v>
      </x:c>
    </x:row>
    <x:row r="68" ht="98" customHeight="1">
      <x:c r="A68" s="3" t="str">
        <x:v>S067</x:v>
      </x:c>
      <x:c r="B68" s="3" t="str">
        <x:v>en.wikipedia.org</x:v>
      </x:c>
      <x:c r="C68" s="16" t="str">
        <x:v>https://en.wikipedia.org/wiki/Patrick_Rothfuss</x:v>
      </x:c>
      <x:c r="D68" s="3" t="str">
        <x:v>019 Patrick Rothfuss</x:v>
      </x:c>
    </x:row>
    <x:row r="69" ht="98" customHeight="1">
      <x:c r="A69" s="3" t="str">
        <x:v>S068</x:v>
      </x:c>
      <x:c r="B69" s="3" t="str">
        <x:v>en.wikipedia.org</x:v>
      </x:c>
      <x:c r="C69" s="16" t="str">
        <x:v>https://en.wikipedia.org/wiki/Penny_Jordan</x:v>
      </x:c>
      <x:c r="D69" s="3" t="str">
        <x:v>062 Penny Jordan</x:v>
      </x:c>
    </x:row>
    <x:row r="70" ht="98" customHeight="1">
      <x:c r="A70" s="3" t="str">
        <x:v>S069</x:v>
      </x:c>
      <x:c r="B70" s="3" t="str">
        <x:v>en.wikipedia.org</x:v>
      </x:c>
      <x:c r="C70" s="16" t="str">
        <x:v>https://en.wikipedia.org/wiki/Ping_Coombes</x:v>
      </x:c>
      <x:c r="D70" s="3" t="str">
        <x:v>035 Ping Coombes</x:v>
      </x:c>
    </x:row>
    <x:row r="71" ht="98" customHeight="1">
      <x:c r="A71" s="3" t="str">
        <x:v>S070</x:v>
      </x:c>
      <x:c r="B71" s="3" t="str">
        <x:v>en.wikipedia.org</x:v>
      </x:c>
      <x:c r="C71" s="16" t="str">
        <x:v>https://en.wikipedia.org/wiki/Preeti_Shenoy</x:v>
      </x:c>
      <x:c r="D71" s="3" t="str">
        <x:v>051 Preeti Shenoy</x:v>
      </x:c>
    </x:row>
    <x:row r="72" ht="98" customHeight="1">
      <x:c r="A72" s="3" t="str">
        <x:v>S071</x:v>
      </x:c>
      <x:c r="B72" s="3" t="str">
        <x:v>en.wikipedia.org</x:v>
      </x:c>
      <x:c r="C72" s="16" t="str">
        <x:v>https://en.wikipedia.org/wiki/Priscilla_Welch</x:v>
      </x:c>
      <x:c r="D72" s="3" t="str">
        <x:v>003 Priscilla Welch</x:v>
      </x:c>
    </x:row>
    <x:row r="73" ht="98" customHeight="1">
      <x:c r="A73" s="3" t="str">
        <x:v>S072</x:v>
      </x:c>
      <x:c r="B73" s="3" t="str">
        <x:v>en.wikipedia.org</x:v>
      </x:c>
      <x:c r="C73" s="16" t="str">
        <x:v>https://en.wikipedia.org/wiki/Purvis_Young</x:v>
      </x:c>
      <x:c r="D73" s="3" t="str">
        <x:v>130 Purvis Young</x:v>
      </x:c>
    </x:row>
    <x:row r="74" ht="98" customHeight="1">
      <x:c r="A74" s="3" t="str">
        <x:v>S073</x:v>
      </x:c>
      <x:c r="B74" s="3" t="str">
        <x:v>en.wikipedia.org</x:v>
      </x:c>
      <x:c r="C74" s="16" t="str">
        <x:v>https://en.wikipedia.org/wiki/Ravinder_Singh_(author)</x:v>
      </x:c>
      <x:c r="D74" s="3" t="str">
        <x:v>020 Ravinder Singh</x:v>
      </x:c>
    </x:row>
    <x:row r="75" ht="98" customHeight="1">
      <x:c r="A75" s="3" t="str">
        <x:v>S074</x:v>
      </x:c>
      <x:c r="B75" s="3" t="str">
        <x:v>en.wikipedia.org</x:v>
      </x:c>
      <x:c r="C75" s="16" t="str">
        <x:v>https://en.wikipedia.org/wiki/Ree_Drummond</x:v>
      </x:c>
      <x:c r="D75" s="3" t="str">
        <x:v>128 Ree Drummond</x:v>
      </x:c>
    </x:row>
    <x:row r="76" ht="98" customHeight="1">
      <x:c r="A76" s="3" t="str">
        <x:v>S075</x:v>
      </x:c>
      <x:c r="B76" s="3" t="str">
        <x:v>en.wikipedia.org</x:v>
      </x:c>
      <x:c r="C76" s="16" t="str">
        <x:v>https://en.wikipedia.org/wiki/Rhod_Gilbert</x:v>
      </x:c>
      <x:c r="D76" s="3" t="str">
        <x:v>045 Rhod Gilbert</x:v>
      </x:c>
    </x:row>
    <x:row r="77" ht="98" customHeight="1">
      <x:c r="A77" s="3" t="str">
        <x:v>S076</x:v>
      </x:c>
      <x:c r="B77" s="3" t="str">
        <x:v>en.wikipedia.org</x:v>
      </x:c>
      <x:c r="C77" s="16" t="str">
        <x:v>https://en.wikipedia.org/wiki/Scott_Lynch</x:v>
      </x:c>
      <x:c r="D77" s="3" t="str">
        <x:v>018 Scott Lynch</x:v>
      </x:c>
    </x:row>
    <x:row r="78" ht="98" customHeight="1">
      <x:c r="A78" s="3" t="str">
        <x:v>S077</x:v>
      </x:c>
      <x:c r="B78" s="3" t="str">
        <x:v>en.wikipedia.org</x:v>
      </x:c>
      <x:c r="C78" s="16" t="str">
        <x:v>https://en.wikipedia.org/wiki/Shelina_Permalloo</x:v>
      </x:c>
      <x:c r="D78" s="3" t="str">
        <x:v>028 Shelina Permalloo</x:v>
      </x:c>
    </x:row>
    <x:row r="79" ht="98" customHeight="1">
      <x:c r="A79" s="3" t="str">
        <x:v>S078</x:v>
      </x:c>
      <x:c r="B79" s="3" t="str">
        <x:v>en.wikipedia.org</x:v>
      </x:c>
      <x:c r="C79" s="16" t="str">
        <x:v>https://en.wikipedia.org/wiki/Sherryl_Woods</x:v>
      </x:c>
      <x:c r="D79" s="3" t="str">
        <x:v>069 Sherryl Woods</x:v>
      </x:c>
    </x:row>
    <x:row r="80" ht="98" customHeight="1">
      <x:c r="A80" s="3" t="str">
        <x:v>S079</x:v>
      </x:c>
      <x:c r="B80" s="3" t="str">
        <x:v>en.wikipedia.org</x:v>
      </x:c>
      <x:c r="C80" s="16" t="str">
        <x:v>https://en.wikipedia.org/wiki/Shigeru_Miyamoto</x:v>
      </x:c>
      <x:c r="D80" s="3" t="str">
        <x:v>025 Shigeru Miyamoto</x:v>
      </x:c>
    </x:row>
    <x:row r="81" ht="98" customHeight="1">
      <x:c r="A81" s="3" t="str">
        <x:v>S080</x:v>
      </x:c>
      <x:c r="B81" s="3" t="str">
        <x:v>en.wikipedia.org</x:v>
      </x:c>
      <x:c r="C81" s="16" t="str">
        <x:v>https://en.wikipedia.org/wiki/Simon_Wood_(chef)</x:v>
      </x:c>
      <x:c r="D81" s="3" t="str">
        <x:v>031 Simon Wood</x:v>
      </x:c>
    </x:row>
    <x:row r="82" ht="98" customHeight="1">
      <x:c r="A82" s="3" t="str">
        <x:v>S081</x:v>
      </x:c>
      <x:c r="B82" s="3" t="str">
        <x:v>en.wikipedia.org</x:v>
      </x:c>
      <x:c r="C82" s="16" t="str">
        <x:v>https://en.wikipedia.org/wiki/Steve_Way_(runner)</x:v>
      </x:c>
      <x:c r="D82" s="3" t="str">
        <x:v>002 Steve Way</x:v>
      </x:c>
    </x:row>
    <x:row r="83" ht="98" customHeight="1">
      <x:c r="A83" s="3" t="str">
        <x:v>S082</x:v>
      </x:c>
      <x:c r="B83" s="3" t="str">
        <x:v>en.wikipedia.org</x:v>
      </x:c>
      <x:c r="C83" s="16" t="str">
        <x:v>https://en.wikipedia.org/wiki/Susan_Elizabeth_Phillips</x:v>
      </x:c>
      <x:c r="D83" s="3" t="str">
        <x:v>061 Susan Elizabeth Phillips</x:v>
      </x:c>
    </x:row>
    <x:row r="84" ht="98" customHeight="1">
      <x:c r="A84" s="3" t="str">
        <x:v>S083</x:v>
      </x:c>
      <x:c r="B84" s="3" t="str">
        <x:v>en.wikipedia.org</x:v>
      </x:c>
      <x:c r="C84" s="16" t="str">
        <x:v>https://en.wikipedia.org/wiki/The_Great_British_Bake_Off_series_10</x:v>
      </x:c>
      <x:c r="D84" s="3" t="str">
        <x:v>085 David Atherton; 086 Alice Fevronia; 087 Steph Blackwell; 088 Michael Chakraverty</x:v>
      </x:c>
    </x:row>
    <x:row r="85" ht="98" customHeight="1">
      <x:c r="A85" s="3" t="str">
        <x:v>S084</x:v>
      </x:c>
      <x:c r="B85" s="3" t="str">
        <x:v>en.wikipedia.org</x:v>
      </x:c>
      <x:c r="C85" s="16" t="str">
        <x:v>https://en.wikipedia.org/wiki/The_Great_British_Bake_Off_series_11</x:v>
      </x:c>
      <x:c r="D85" s="3" t="str">
        <x:v>089 Dave Friday; 090 Laura Adlington; 091 Hermine Dossou</x:v>
      </x:c>
    </x:row>
    <x:row r="86" ht="98" customHeight="1">
      <x:c r="A86" s="3" t="str">
        <x:v>S085</x:v>
      </x:c>
      <x:c r="B86" s="3" t="str">
        <x:v>en.wikipedia.org</x:v>
      </x:c>
      <x:c r="C86" s="16" t="str">
        <x:v>https://en.wikipedia.org/wiki/The_Great_British_Bake_Off_series_13</x:v>
      </x:c>
      <x:c r="D86" s="3" t="str">
        <x:v>092 Abdul Rehman Sharif; 093 Janusz Domagala; 094 Marie-Therese Maxy Maligisa; 095 Sandro Farmhouse</x:v>
      </x:c>
    </x:row>
    <x:row r="87" ht="98" customHeight="1">
      <x:c r="A87" s="3" t="str">
        <x:v>S086</x:v>
      </x:c>
      <x:c r="B87" s="3" t="str">
        <x:v>en.wikipedia.org</x:v>
      </x:c>
      <x:c r="C87" s="16" t="str">
        <x:v>https://en.wikipedia.org/wiki/The_Great_British_Bake_Off_series_14</x:v>
      </x:c>
      <x:c r="D87" s="3" t="str">
        <x:v>096 Matty Edgell; 097 Tasha Stones</x:v>
      </x:c>
    </x:row>
    <x:row r="88" ht="98" customHeight="1">
      <x:c r="A88" s="3" t="str">
        <x:v>S087</x:v>
      </x:c>
      <x:c r="B88" s="3" t="str">
        <x:v>en.wikipedia.org</x:v>
      </x:c>
      <x:c r="C88" s="16" t="str">
        <x:v>https://en.wikipedia.org/wiki/The_Great_British_Bake_Off_series_5</x:v>
      </x:c>
      <x:c r="D88" s="3" t="str">
        <x:v>074 Richard Burr; 075 Chetna Makan</x:v>
      </x:c>
    </x:row>
    <x:row r="89" ht="98" customHeight="1">
      <x:c r="A89" s="3" t="str">
        <x:v>S088</x:v>
      </x:c>
      <x:c r="B89" s="3" t="str">
        <x:v>en.wikipedia.org</x:v>
      </x:c>
      <x:c r="C89" s="16" t="str">
        <x:v>https://en.wikipedia.org/wiki/The_Great_British_Bake_Off_series_6</x:v>
      </x:c>
      <x:c r="D89" s="3" t="str">
        <x:v>132 Mat Riley; 133 Tamal Ray</x:v>
      </x:c>
    </x:row>
    <x:row r="90" ht="98" customHeight="1">
      <x:c r="A90" s="3" t="str">
        <x:v>S089</x:v>
      </x:c>
      <x:c r="B90" s="3" t="str">
        <x:v>en.wikipedia.org</x:v>
      </x:c>
      <x:c r="C90" s="16" t="str">
        <x:v>https://en.wikipedia.org/wiki/The_Great_British_Bake_Off_series_7</x:v>
      </x:c>
      <x:c r="D90" s="3" t="str">
        <x:v>076 Candice Brown; 077 Selasi Gbormittah; 078 Tom Gilliford</x:v>
      </x:c>
    </x:row>
    <x:row r="91" ht="98" customHeight="1">
      <x:c r="A91" s="3" t="str">
        <x:v>S090</x:v>
      </x:c>
      <x:c r="B91" s="3" t="str">
        <x:v>en.wikipedia.org</x:v>
      </x:c>
      <x:c r="C91" s="16" t="str">
        <x:v>https://en.wikipedia.org/wiki/The_Great_British_Bake_Off_series_8</x:v>
      </x:c>
      <x:c r="D91" s="3" t="str">
        <x:v>079 Kate Lyon; 080 Steven Carter-Bailey</x:v>
      </x:c>
    </x:row>
    <x:row r="92" ht="98" customHeight="1">
      <x:c r="A92" s="3" t="str">
        <x:v>S091</x:v>
      </x:c>
      <x:c r="B92" s="3" t="str">
        <x:v>en.wikipedia.org</x:v>
      </x:c>
      <x:c r="C92" s="16" t="str">
        <x:v>https://en.wikipedia.org/wiki/The_Great_British_Bake_Off_series_9</x:v>
      </x:c>
      <x:c r="D92" s="3" t="str">
        <x:v>081 Ruby Bhogal; 082 Briony Williams; 083 Manon Lagrève; 084 Dan Beasley-Harling</x:v>
      </x:c>
    </x:row>
    <x:row r="93" ht="98" customHeight="1">
      <x:c r="A93" s="3" t="str">
        <x:v>S092</x:v>
      </x:c>
      <x:c r="B93" s="3" t="str">
        <x:v>en.wikipedia.org</x:v>
      </x:c>
      <x:c r="C93" s="16" t="str">
        <x:v>https://en.wikipedia.org/wiki/Thomas_Frake</x:v>
      </x:c>
      <x:c r="D93" s="3" t="str">
        <x:v>033 Thomas Frake</x:v>
      </x:c>
    </x:row>
    <x:row r="94" ht="98" customHeight="1">
      <x:c r="A94" s="3" t="str">
        <x:v>S093</x:v>
      </x:c>
      <x:c r="B94" s="3" t="str">
        <x:v>en.wikipedia.org</x:v>
      </x:c>
      <x:c r="C94" s="16" t="str">
        <x:v>https://en.wikipedia.org/wiki/Tim_Anderson_(chef)</x:v>
      </x:c>
      <x:c r="D94" s="3" t="str">
        <x:v>029 Tim Anderson</x:v>
      </x:c>
    </x:row>
    <x:row r="95" ht="98" customHeight="1">
      <x:c r="A95" s="3" t="str">
        <x:v>S094</x:v>
      </x:c>
      <x:c r="B95" s="3" t="str">
        <x:v>en.wikipedia.org</x:v>
      </x:c>
      <x:c r="C95" s="16" t="str">
        <x:v>https://en.wikipedia.org/wiki/Tracy_Barlow_(runner)</x:v>
      </x:c>
      <x:c r="D95" s="3" t="str">
        <x:v>007 Tracy Barlow</x:v>
      </x:c>
    </x:row>
    <x:row r="96" ht="98" customHeight="1">
      <x:c r="A96" s="3" t="str">
        <x:v>S095</x:v>
      </x:c>
      <x:c r="B96" s="3" t="str">
        <x:v>en.wikipedia.org</x:v>
      </x:c>
      <x:c r="C96" s="16" t="str">
        <x:v>https://en.wikipedia.org/wiki/Walter_Mosley</x:v>
      </x:c>
      <x:c r="D96" s="3" t="str">
        <x:v>124 Walter Mosley</x:v>
      </x:c>
    </x:row>
    <x:row r="97" ht="98" customHeight="1">
      <x:c r="A97" s="3" t="str">
        <x:v>S096</x:v>
      </x:c>
      <x:c r="B97" s="3" t="str">
        <x:v>ffrf.org</x:v>
      </x:c>
      <x:c r="C97" s="16" t="str">
        <x:v>https://ffrf.org/publications/day/phyllis-diller/</x:v>
      </x:c>
      <x:c r="D97" s="3" t="str">
        <x:v>046 Phyllis Diller</x:v>
      </x:c>
    </x:row>
    <x:row r="98" ht="98" customHeight="1">
      <x:c r="A98" s="3" t="str">
        <x:v>S097</x:v>
      </x:c>
      <x:c r="B98" s="3" t="str">
        <x:v>freshfiction.com</x:v>
      </x:c>
      <x:c r="C98" s="16" t="str">
        <x:v>https://freshfiction.com/author.php?id=4687</x:v>
      </x:c>
      <x:c r="D98" s="3" t="str">
        <x:v>013 Nora Roberts</x:v>
      </x:c>
    </x:row>
    <x:row r="99" ht="98" customHeight="1">
      <x:c r="A99" s="3" t="str">
        <x:v>S098</x:v>
      </x:c>
      <x:c r="B99" s="3" t="str">
        <x:v>mediamilwaukee.com</x:v>
      </x:c>
      <x:c r="C99" s="16" t="str">
        <x:v>https://mediamilwaukee.com/culture/patrick-rothfuss-king-chronicles/</x:v>
      </x:c>
      <x:c r="D99" s="3" t="str">
        <x:v>019 Patrick Rothfuss</x:v>
      </x:c>
    </x:row>
    <x:row r="100" ht="98" customHeight="1">
      <x:c r="A100" s="3" t="str">
        <x:v>S099</x:v>
      </x:c>
      <x:c r="B100" s="3" t="str">
        <x:v>roseharvey.co.uk</x:v>
      </x:c>
      <x:c r="C100" s="16" t="str">
        <x:v>https://roseharvey.co.uk/</x:v>
      </x:c>
      <x:c r="D100" s="3" t="str">
        <x:v>006 Rose Harvey</x:v>
      </x:c>
    </x:row>
    <x:row r="101" ht="98" customHeight="1">
      <x:c r="A101" s="3" t="str">
        <x:v>S100</x:v>
      </x:c>
      <x:c r="B101" s="3" t="str">
        <x:v>runningmagazine.ca</x:v>
      </x:c>
      <x:c r="C101" s="16" t="str">
        <x:v>https://runningmagazine.ca/uncategorized/40-year-old-overweight-smoker-represent-england-commonwealth-marathon/</x:v>
      </x:c>
      <x:c r="D101" s="3" t="str">
        <x:v>002 Steve Way</x:v>
      </x:c>
    </x:row>
    <x:row r="102" ht="98" customHeight="1">
      <x:c r="A102" s="3" t="str">
        <x:v>S101</x:v>
      </x:c>
      <x:c r="B102" s="3" t="str">
        <x:v>the-cornish-historian.com</x:v>
      </x:c>
      <x:c r="C102" s="16" t="str">
        <x:v>https://the-cornish-historian.com/2025/04/04/cornish-sporting-heroes-1-emma-stepto/</x:v>
      </x:c>
      <x:c r="D102" s="3" t="str">
        <x:v>005 Emma Stepto</x:v>
      </x:c>
    </x:row>
    <x:row r="103" ht="98" customHeight="1">
      <x:c r="A103" s="3" t="str">
        <x:v>S102</x:v>
      </x:c>
      <x:c r="B103" s="3" t="str">
        <x:v>www.aarp.org</x:v>
      </x:c>
      <x:c r="C103" s="16" t="str">
        <x:v>https://www.aarp.org/entertainment/books/debbie-macomber/</x:v>
      </x:c>
      <x:c r="D103" s="3" t="str">
        <x:v>014 Debbie Macomber</x:v>
      </x:c>
    </x:row>
    <x:row r="104" ht="98" customHeight="1">
      <x:c r="A104" s="3" t="str">
        <x:v>S103</x:v>
      </x:c>
      <x:c r="B104" s="3" t="str">
        <x:v>www.abc.net.au</x:v>
      </x:c>
      <x:c r="C104" s="16" t="str">
        <x:v>https://www.abc.net.au/news/2009-07-20/masterchef-not-rigged-julie-says/1360566</x:v>
      </x:c>
      <x:c r="D104" s="3" t="str">
        <x:v>034 Julie Goodwin</x:v>
      </x:c>
    </x:row>
    <x:row r="105" ht="98" customHeight="1">
      <x:c r="A105" s="3" t="str">
        <x:v>S104</x:v>
      </x:c>
      <x:c r="B105" s="3" t="str">
        <x:v>www.brentweeks.com</x:v>
      </x:c>
      <x:c r="C105" s="16" t="str">
        <x:v>https://www.brentweeks.com/faq/</x:v>
      </x:c>
      <x:c r="D105" s="3" t="str">
        <x:v>017 Brent Weeks</x:v>
      </x:c>
    </x:row>
    <x:row r="106" ht="98" customHeight="1">
      <x:c r="A106" s="3" t="str">
        <x:v>S105</x:v>
      </x:c>
      <x:c r="B106" s="3" t="str">
        <x:v>www.brunel.ac.uk</x:v>
      </x:c>
      <x:c r="C106" s="16" t="str">
        <x:v>https://www.brunel.ac.uk/news-and-events/news/articles/MasterChef-winner-remembers-student-days-at-Brunel</x:v>
      </x:c>
      <x:c r="D106" s="3" t="str">
        <x:v>028 Shelina Permalloo</x:v>
      </x:c>
    </x:row>
    <x:row r="107" ht="98" customHeight="1">
      <x:c r="A107" s="3" t="str">
        <x:v>S106</x:v>
      </x:c>
      <x:c r="B107" s="3" t="str">
        <x:v>www.city-runs.co.uk</x:v>
      </x:c>
      <x:c r="C107" s="16" t="str">
        <x:v>https://www.city-runs.co.uk/emma-stepto-qa</x:v>
      </x:c>
      <x:c r="D107" s="3" t="str">
        <x:v>005 Emma Stepto</x:v>
      </x:c>
    </x:row>
    <x:row r="108" ht="98" customHeight="1">
      <x:c r="A108" s="3" t="str">
        <x:v>S107</x:v>
      </x:c>
      <x:c r="B108" s="3" t="str">
        <x:v>www.cliffsnotes.com</x:v>
      </x:c>
      <x:c r="C108" s="16" t="str">
        <x:v>https://www.cliffsnotes.com/literature/s/the-secret-life-of-bees/sue-monk-kidd-biography</x:v>
      </x:c>
      <x:c r="D108" s="3" t="str">
        <x:v>125 Sue Monk Kidd</x:v>
      </x:c>
    </x:row>
    <x:row r="109" ht="98" customHeight="1">
      <x:c r="A109" s="3" t="str">
        <x:v>S108</x:v>
      </x:c>
      <x:c r="B109" s="3" t="str">
        <x:v>www.deadgoodbooks.co.uk</x:v>
      </x:c>
      <x:c r="C109" s="16" t="str">
        <x:v>https://www.deadgoodbooks.co.uk/ann-cleeves-career-highlights/</x:v>
      </x:c>
      <x:c r="D109" s="3" t="str">
        <x:v>016 Ann Cleeves</x:v>
      </x:c>
    </x:row>
    <x:row r="110" ht="98" customHeight="1">
      <x:c r="A110" s="3" t="str">
        <x:v>S109</x:v>
      </x:c>
      <x:c r="B110" s="3" t="str">
        <x:v>www.edutopia.org</x:v>
      </x:c>
      <x:c r="C110" s="16" t="str">
        <x:v>https://www.edutopia.org/blog/win-the-memory-game-dominic-obrien</x:v>
      </x:c>
      <x:c r="D110" s="3" t="str">
        <x:v>001 Dominic O’Brien</x:v>
      </x:c>
    </x:row>
    <x:row r="111" ht="98" customHeight="1">
      <x:c r="A111" s="3" t="str">
        <x:v>S110</x:v>
      </x:c>
      <x:c r="B111" s="3" t="str">
        <x:v>www.englandathletics.org</x:v>
      </x:c>
      <x:c r="C111" s="16" t="str">
        <x:v>https://www.englandathletics.org/news/nicky-spinks-reflects-on-her-inspirational-journey/</x:v>
      </x:c>
      <x:c r="D111" s="3" t="str">
        <x:v>004 Nicky Spinks</x:v>
      </x:c>
    </x:row>
    <x:row r="112" ht="98" customHeight="1">
      <x:c r="A112" s="3" t="str">
        <x:v>S111</x:v>
      </x:c>
      <x:c r="B112" s="3" t="str">
        <x:v>www.forbesindia.com</x:v>
      </x:c>
      <x:c r="C112" s="16" t="str">
        <x:v>https://www.forbesindia.com/article/cross-border/saving-businesses-the-old-fashioned-wayby-email/51755/1</x:v>
      </x:c>
      <x:c r="D112" s="3" t="str">
        <x:v>131 Ben Chestnut</x:v>
      </x:c>
    </x:row>
    <x:row r="113" ht="98" customHeight="1">
      <x:c r="A113" s="3" t="str">
        <x:v>S112</x:v>
      </x:c>
      <x:c r="B113" s="3" t="str">
        <x:v>www.heart.co.uk</x:v>
      </x:c>
      <x:c r="C113" s="16" t="str">
        <x:v>https://www.heart.co.uk/showbiz/tv-movies/who-chef-tom-rhodes-masterchef-winner-2021/</x:v>
      </x:c>
      <x:c r="D113" s="3" t="str">
        <x:v>119 Tom Rhodes</x:v>
      </x:c>
    </x:row>
    <x:row r="114" ht="98" customHeight="1">
      <x:c r="A114" s="3" t="str">
        <x:v>S113</x:v>
      </x:c>
      <x:c r="B114" s="3" t="str">
        <x:v>www.indiegogo.com</x:v>
      </x:c>
      <x:c r="C114" s="16" t="str">
        <x:v>https://www.indiegogo.com/en/projects/chrishunt/kenshi-a-free-roaming-squad-based-rpg/rewards</x:v>
      </x:c>
      <x:c r="D114" s="3" t="str">
        <x:v>026 Chris Hunt</x:v>
      </x:c>
    </x:row>
    <x:row r="115" ht="98" customHeight="1">
      <x:c r="A115" s="3" t="str">
        <x:v>S114</x:v>
      </x:c>
      <x:c r="B115" s="3" t="str">
        <x:v>www.kennytutt.co.uk</x:v>
      </x:c>
      <x:c r="C115" s="16" t="str">
        <x:v>https://www.kennytutt.co.uk/</x:v>
      </x:c>
      <x:c r="D115" s="3" t="str">
        <x:v>032 Kenny Tutt</x:v>
      </x:c>
    </x:row>
    <x:row r="116" ht="98" customHeight="1">
      <x:c r="A116" s="3" t="str">
        <x:v>S115</x:v>
      </x:c>
      <x:c r="B116" s="3" t="str">
        <x:v>www.leadstartcorp.com</x:v>
      </x:c>
      <x:c r="C116" s="16" t="str">
        <x:v>https://www.leadstartcorp.com/authors/anuja-chandramouli/</x:v>
      </x:c>
      <x:c r="D116" s="3" t="str">
        <x:v>022 Anuja Chandramouli</x:v>
      </x:c>
    </x:row>
    <x:row r="117" ht="98" customHeight="1">
      <x:c r="A117" s="3" t="str">
        <x:v>S116</x:v>
      </x:c>
      <x:c r="B117" s="3" t="str">
        <x:v>www.macdowell.org</x:v>
      </x:c>
      <x:c r="C117" s="16" t="str">
        <x:v>https://www.macdowell.org/artists/walter-mosley</x:v>
      </x:c>
      <x:c r="D117" s="3" t="str">
        <x:v>124 Walter Mosley</x:v>
      </x:c>
    </x:row>
    <x:row r="118" ht="98" customHeight="1">
      <x:c r="A118" s="3" t="str">
        <x:v>S117</x:v>
      </x:c>
      <x:c r="B118" s="3" t="str">
        <x:v>www.mirror.co.uk</x:v>
      </x:c>
      <x:c r="C118" s="16" t="str">
        <x:v>https://www.mirror.co.uk/tv/who-won-masterchef-2018-bank-12359726</x:v>
      </x:c>
      <x:c r="D118" s="3" t="str">
        <x:v>032 Kenny Tutt</x:v>
      </x:c>
    </x:row>
    <x:row r="119" ht="98" customHeight="1">
      <x:c r="A119" s="3" t="str">
        <x:v>S118</x:v>
      </x:c>
      <x:c r="B119" s="3" t="str">
        <x:v>www.nadiyahussain.com</x:v>
      </x:c>
      <x:c r="C119" s="16" t="str">
        <x:v>https://www.nadiyahussain.com/about-me/</x:v>
      </x:c>
      <x:c r="D119" s="3" t="str">
        <x:v>040 Nadiya Hussain</x:v>
      </x:c>
    </x:row>
    <x:row r="120" ht="98" customHeight="1">
      <x:c r="A120" s="3" t="str">
        <x:v>S119</x:v>
      </x:c>
      <x:c r="B120" s="3" t="str">
        <x:v>www.pentadact.com</x:v>
      </x:c>
      <x:c r="C120" s="16" t="str">
        <x:v>https://www.pentadact.com/page/13/?order=ASC&amp;orderby=title</x:v>
      </x:c>
      <x:c r="D120" s="3" t="str">
        <x:v>027 Tom Francis</x:v>
      </x:c>
    </x:row>
    <x:row r="121" ht="98" customHeight="1">
      <x:c r="A121" s="3" t="str">
        <x:v>S120</x:v>
      </x:c>
      <x:c r="B121" s="3" t="str">
        <x:v>www.pentadact.com</x:v>
      </x:c>
      <x:c r="C121" s="16" t="str">
        <x:v>https://www.pentadact.com/page/15/?order=asc&amp;orderby=title</x:v>
      </x:c>
      <x:c r="D121" s="3" t="str">
        <x:v>027 Tom Francis</x:v>
      </x:c>
    </x:row>
    <x:row r="122" ht="98" customHeight="1">
      <x:c r="A122" s="3" t="str">
        <x:v>S121</x:v>
      </x:c>
      <x:c r="B122" s="3" t="str">
        <x:v>www.robyncarr.com</x:v>
      </x:c>
      <x:c r="C122" s="16" t="str">
        <x:v>https://www.robyncarr.com/biography/</x:v>
      </x:c>
      <x:c r="D122" s="3" t="str">
        <x:v>015 Robyn Carr</x:v>
      </x:c>
    </x:row>
    <x:row r="123" ht="98" customHeight="1">
      <x:c r="A123" s="3" t="str">
        <x:v>S122</x:v>
      </x:c>
      <x:c r="B123" s="3" t="str">
        <x:v>www.shelf-awareness.com</x:v>
      </x:c>
      <x:c r="C123" s="16" t="str">
        <x:v>https://www.shelf-awareness.com/readers/2012-01-13/book_brahmin%3A_robyn_carr.html</x:v>
      </x:c>
      <x:c r="D123" s="3" t="str">
        <x:v>015 Robyn Carr</x:v>
      </x:c>
    </x:row>
    <x:row r="124" ht="98" customHeight="1">
      <x:c r="A124" s="3" t="str">
        <x:v>S123</x:v>
      </x:c>
      <x:c r="B124" s="3" t="str">
        <x:v>www.soulsgrowndeep.org</x:v>
      </x:c>
      <x:c r="C124" s="16" t="str">
        <x:v>https://www.soulsgrowndeep.org/artist/lonnie-holley</x:v>
      </x:c>
      <x:c r="D124" s="3" t="str">
        <x:v>129 Lonnie Holley</x:v>
      </x:c>
    </x:row>
    <x:row r="125" ht="98" customHeight="1">
      <x:c r="A125" s="3" t="str">
        <x:v>S124</x:v>
      </x:c>
      <x:c r="B125" s="3" t="str">
        <x:v>www.soulsgrowndeep.org</x:v>
      </x:c>
      <x:c r="C125" s="16" t="str">
        <x:v>https://www.soulsgrowndeep.org/artist/purvis-young</x:v>
      </x:c>
      <x:c r="D125" s="3" t="str">
        <x:v>130 Purvis Young</x:v>
      </x:c>
    </x:row>
    <x:row r="126" ht="98" customHeight="1">
      <x:c r="A126" s="3" t="str">
        <x:v>S125</x:v>
      </x:c>
      <x:c r="B126" s="3" t="str">
        <x:v>www.studiomuseum.org</x:v>
      </x:c>
      <x:c r="C126" s="16" t="str">
        <x:v>https://www.studiomuseum.org/artists/purvis-young</x:v>
      </x:c>
      <x:c r="D126" s="3" t="str">
        <x:v>130 Purvis Young</x:v>
      </x:c>
    </x:row>
    <x:row r="127" ht="98" customHeight="1">
      <x:c r="A127" s="3" t="str">
        <x:v>S126</x:v>
      </x:c>
      <x:c r="B127" s="3" t="str">
        <x:v>www.teamgb.com</x:v>
      </x:c>
      <x:c r="C127" s="16" t="str">
        <x:v>https://www.teamgb.com/athlete/rose-harvey/1Zm0HLMeEiObiom7wB6f3i</x:v>
      </x:c>
      <x:c r="D127" s="3" t="str">
        <x:v>006 Rose Harvey</x:v>
      </x:c>
    </x:row>
    <x:row r="128" ht="98" customHeight="1">
      <x:c r="A128" s="3" t="str">
        <x:v>S127</x:v>
      </x:c>
      <x:c r="B128" s="3" t="str">
        <x:v>www.timjacksonphd.com</x:v>
      </x:c>
      <x:c r="C128" s="16" t="str">
        <x:v>https://www.timjacksonphd.com/an-interview-with-ultra-marathoner-ihor-verys-how-to-stay-resilient-when-challenging-yourself-to-the-limit/</x:v>
      </x:c>
      <x:c r="D128" s="3" t="str">
        <x:v>010 Ihor Verys</x:v>
      </x:c>
    </x:row>
    <x:row r="129" ht="98" customHeight="1">
      <x:c r="A129" s="3" t="str">
        <x:v>S128</x:v>
      </x:c>
      <x:c r="B129" s="3" t="str">
        <x:v>www.tntmagazine.com</x:v>
      </x:c>
      <x:c r="C129" s="16" t="str">
        <x:v>https://www.tntmagazine.com/leisure-entertainment/interviews/rhod-gilbert-interview-the-stand-up-comedian-on-being-angry-and-becoming-waless-sexiest-specimen/</x:v>
      </x:c>
      <x:c r="D129" s="3" t="str">
        <x:v>045 Rhod Gilbert</x:v>
      </x:c>
    </x:row>
    <x:row r="130" ht="98" customHeight="1">
      <x:c r="A130" s="3" t="str">
        <x:v>S129</x:v>
      </x:c>
      <x:c r="B130" s="3" t="str">
        <x:v>www.trailrunnermag.com</x:v>
      </x:c>
      <x:c r="C130" s="16" t="str">
        <x:v>https://www.trailrunnermag.com/training/trail-tips-training/kathryn-drew-and-the-power-of-consistency/</x:v>
      </x:c>
      <x:c r="D130" s="3" t="str">
        <x:v>009 Kathryn Drew</x:v>
      </x:c>
    </x:row>
    <x:row r="131" ht="98" customHeight="1">
      <x:c r="A131" s="3" t="str">
        <x:v>S130</x:v>
      </x:c>
      <x:c r="B131" s="3" t="str">
        <x:v>www.uk.emb-japan.go.jp</x:v>
      </x:c>
      <x:c r="C131" s="16" t="str">
        <x:v>https://www.uk.emb-japan.go.jp/en/event/webmagazine/jul11/tim_anderson.html</x:v>
      </x:c>
      <x:c r="D131" s="3" t="str">
        <x:v>029 Tim Anderson</x:v>
      </x:c>
    </x:row>
    <x:row r="132" ht="98" customHeight="1">
      <x:c r="A132" s="3" t="str">
        <x:v>S131</x:v>
      </x:c>
      <x:c r="B132" s="3" t="str">
        <x:v>www.ultrarunnermagazine.co.uk</x:v>
      </x:c>
      <x:c r="C132" s="16" t="str">
        <x:v>https://www.ultrarunnermagazine.co.uk/ihor-verys-discusses-his-barkley-marathons-win/</x:v>
      </x:c>
      <x:c r="D132" s="3" t="str">
        <x:v>010 Ihor Verys</x:v>
      </x:c>
    </x:row>
    <x:row r="133" ht="98" customHeight="1">
      <x:c r="A133" s="3" t="str">
        <x:v>S132</x:v>
      </x:c>
      <x:c r="B133" s="3" t="str">
        <x:v>www.wired.com</x:v>
      </x:c>
      <x:c r="C133" s="16" t="str">
        <x:v>https://www.wired.com/2009/03/bloggies-tk-tk</x:v>
      </x:c>
      <x:c r="D133" s="3" t="str">
        <x:v>128 Ree Drummond</x:v>
      </x:c>
    </x:row>
    <x:row r="134" ht="98" customHeight="1">
      <x:c r="A134" s="3" t="str">
        <x:v>S133</x:v>
      </x:c>
      <x:c r="B134" s="3" t="str">
        <x:v>www.womanandhome.com</x:v>
      </x:c>
      <x:c r="C134" s="16" t="str">
        <x:v>https://www.womanandhome.com/life/news-entertainment/masterchef-has-crowned-former-nandos-worker-tom-rhodes-winner-of-the-2021-bbc-series/</x:v>
      </x:c>
      <x:c r="D134" s="3" t="str">
        <x:v>119 Tom Rhodes</x:v>
      </x:c>
    </x:row>
    <x:row r="135" ht="98" customHeight="1">
      <x:c r="A135" s="3" t="str">
        <x:v>S134</x:v>
      </x:c>
      <x:c r="B135" s="3" t="str">
        <x:v>www.worldmemorychampionships.com</x:v>
      </x:c>
      <x:c r="C135" s="16" t="str">
        <x:v>https://www.worldmemorychampionships.com/dominic-obrien-wins-the-paneuropean-memory-championships/</x:v>
      </x:c>
      <x:c r="D135" s="3" t="str">
        <x:v>001 Dominic O’Brien</x:v>
      </x:c>
    </x:row>
    <x:row r="136" ht="98" customHeight="1">
      <x:c r="A136" s="3" t="str">
        <x:v>S135</x:v>
      </x:c>
      <x:c r="B136" s="3" t="str">
        <x:v>en.wikipedia.org</x:v>
      </x:c>
      <x:c r="C136" s="16" t="str">
        <x:v>https://en.wikipedia.org/wiki/World_Memory_Champion</x:v>
      </x:c>
      <x:c r="D136" s="3" t="str">
        <x:v>001 Dominic O’Brien</x:v>
      </x:c>
    </x:row>
  </x:sheetData>
  <x:pageMargins left="0.7" right="0.7" top="0.75" bottom="0.75" header="0.3" footer="0.3"/>
  <x:tableParts count="1">
    <x:tablePart xmlns:r="http://schemas.openxmlformats.org/officeDocument/2006/relationships" r:id="R0cbe7af17f9b414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0" hidden="0" customWidth="1"/>
  </x:cols>
  <x:sheetData>
    <x:row r="1" ht="34" customHeight="1">
      <x:c r="A1" s="8" t="str">
        <x:v>Rule / gate</x:v>
      </x:c>
      <x:c r="B1" s="8" t="str">
        <x:v>Requirement</x:v>
      </x:c>
    </x:row>
    <x:row r="2" ht="100" customHeight="1">
      <x:c r="A2" s="12" t="str">
        <x:v>Age window</x:v>
      </x:c>
      <x:c r="B2" s="3" t="str">
        <x:v>Core: 26–39 inclusive. Earlier qualifying proof before 26 excludes core inclusion. Resolve 25/26 boundary cases.</x:v>
      </x:c>
    </x:row>
    <x:row r="3" ht="100" customHeight="1">
      <x:c r="A3" s="12" t="str">
        <x:v>Achievement threshold</x:v>
      </x:c>
      <x:c r="B3" s="3" t="str">
        <x:v>A dated, attributable output or result with credible external evaluation and meaningful selectivity. Regional excellence can qualify.</x:v>
      </x:c>
    </x:row>
    <x:row r="4" ht="100" customHeight="1">
      <x:c r="A4" s="12" t="str">
        <x:v>Earlier domain coverage</x:v>
      </x:c>
      <x:c r="B4" s="3" t="str">
        <x:v>Review school/university, sports, arts/writing/music, work/business, technical/scientific pursuits and other competitive/community activity.</x:v>
      </x:c>
    </x:row>
    <x:row r="5" ht="100" customHeight="1">
      <x:c r="A5" s="12" t="str">
        <x:v>What is not enough</x:v>
      </x:c>
      <x:c r="B5" s="3" t="str">
        <x:v>Late fame, self-publication alone, television casting, a job title, salary, a degree, or a vague account of talent.</x:v>
      </x:c>
    </x:row>
    <x:row r="6" ht="100" customHeight="1">
      <x:c r="A6" s="12" t="str">
        <x:v>Ordinary competence</x:v>
      </x:c>
      <x:c r="B6" s="3" t="str">
        <x:v>A job, degree or private hobby does not itself prove earlier exceptional performance. Privilege and distinction are separate variables.</x:v>
      </x:c>
    </x:row>
    <x:row r="7" ht="100" customHeight="1">
      <x:c r="A7" s="12" t="str">
        <x:v>Source discipline</x:v>
      </x:c>
      <x:c r="B7" s="3" t="str">
        <x:v>Link specific claims to sources. Prefer a direct account plus independent corroboration. Wikipedia/roundups are discovery leads, not complete early-history audits.</x:v>
      </x:c>
    </x:row>
    <x:row r="8" ht="100" customHeight="1">
      <x:c r="A8" s="12" t="str">
        <x:v>Date discipline</x:v>
      </x:c>
      <x:c r="B8" s="3" t="str">
        <x:v>Record earliest selection/acceptance/contract, not just release or fame. Preserve uncertainty and distinguish filming from broadcast.</x:v>
      </x:c>
    </x:row>
    <x:row r="9" ht="100" customHeight="1">
      <x:c r="A9" s="12" t="str">
        <x:v>Evidence status</x:v>
      </x:c>
      <x:c r="B9" s="3" t="str">
        <x:v>Lead → milestone screened → early-history audit incomplete → probable fit after defined review → corroborated fit; or held/excluded.</x:v>
      </x:c>
    </x:row>
    <x:row r="10" ht="100" customHeight="1">
      <x:c r="A10" s="12" t="str">
        <x:v>Trajectory type</x:v>
      </x:c>
      <x:c r="B10" s="3" t="str">
        <x:v>First adult proof with adult development; first adult proof with development unclear; delayed recognition; transferred excellence; unresolved.</x:v>
      </x:c>
    </x:row>
    <x:row r="11" ht="100" customHeight="1">
      <x:c r="A11" s="12" t="str">
        <x:v>Current A/B/C labels</x:v>
      </x:c>
      <x:c r="B11" s="3" t="str">
        <x:v>A: priority audit lead. B: open audit lead. C: held for a specific issue. None equals corroborated fit.</x:v>
      </x:c>
    </x:row>
    <x:row r="12" ht="100" customHeight="1">
      <x:c r="A12" s="12" t="str">
        <x:v>Permissible wording</x:v>
      </x:c>
      <x:c r="B12" s="3" t="str">
        <x:v>No earlier qualifying achievement was identified in the reviewed sources and specified interview audit. State coverage and gaps.</x:v>
      </x:c>
    </x:row>
    <x:row r="13" ht="100" customHeight="1">
      <x:c r="A13" s="12" t="str">
        <x:v>Do not claim</x:v>
      </x:c>
      <x:c r="B13" s="3" t="str">
        <x:v>No talent; started from zero; completely ordinary; proof anyone can succeed; probability of personal success.</x:v>
      </x:c>
    </x:row>
    <x:row r="14" ht="100" customHeight="1">
      <x:c r="A14" s="12" t="str">
        <x:v>Gate 1: milestone</x:v>
      </x:c>
      <x:c r="B14" s="3" t="str">
        <x:v>Verify identity, date, age, individual contribution, external evaluator and selective standard.</x:v>
      </x:c>
    </x:row>
    <x:row r="15" ht="100" customHeight="1">
      <x:c r="A15" s="12" t="str">
        <x:v>Gate 2: disconfirmation</x:v>
      </x:c>
      <x:c r="B15" s="3" t="str">
        <x:v>Actively search for earlier qualifying achievement across domains. Record negative search coverage separately from unknown.</x:v>
      </x:c>
    </x:row>
    <x:row r="16" ht="100" customHeight="1">
      <x:c r="A16" s="12" t="str">
        <x:v>Gate 3: corroboration</x:v>
      </x:c>
      <x:c r="B16" s="3" t="str">
        <x:v>Interview the subject where feasible, seek supporting records or witnesses with consent, and retain contradictions.</x:v>
      </x:c>
    </x:row>
    <x:row r="17" ht="100" customHeight="1">
      <x:c r="A17" s="12" t="str">
        <x:v>Gate 4: review</x:v>
      </x:c>
      <x:c r="B17" s="3" t="str">
        <x:v>A second reviewer checks the classification and the strongest disqualifying evidence before publication.</x:v>
      </x:c>
    </x:row>
    <x:row r="18" ht="100" customHeight="1">
      <x:c r="A18" s="12" t="str">
        <x:v>Gate 5: publication</x:v>
      </x:c>
      <x:c r="B18" s="3" t="str">
        <x:v>Publish a bounded claim, dual development/validation timeline, starting advantages and explicit unresolved questions.</x:v>
      </x:c>
    </x:row>
    <x:row r="19" ht="100" customHeight="1">
      <x:c r="A19" s="12" t="str">
        <x:v>Sampling limit</x:v>
      </x:c>
      <x:c r="B19" s="3" t="str">
        <x:v>This is a purposive discovery sample, not a representative population cohort. No incidence, causal or personal-odds estimates.</x:v>
      </x:c>
    </x:row>
    <x:row r="20" ht="100" customHeight="1">
      <x:c r="A20" s="12" t="str">
        <x:v>Data privacy</x:v>
      </x:c>
      <x:c r="B20" s="3" t="str">
        <x:v>Use relevant public records and consent-based interviews. Do not collect unrelated sensitive details or publish private corroboration without consent.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40" hidden="0" customWidth="1"/>
    <x:col min="4" max="4" width="40" hidden="0" customWidth="1"/>
  </x:cols>
  <x:sheetData>
    <x:row r="1" ht="34" customHeight="1">
      <x:c r="A1" s="8" t="str">
        <x:v>Time</x:v>
      </x:c>
      <x:c r="B1" s="8" t="str">
        <x:v>Focus</x:v>
      </x:c>
      <x:c r="C1" s="8" t="str">
        <x:v>Prompt</x:v>
      </x:c>
      <x:c r="D1" s="8" t="str">
        <x:v>Verification purpose</x:v>
      </x:c>
    </x:row>
    <x:row r="2" ht="115" customHeight="1">
      <x:c r="A2" s="3" t="str">
        <x:v>0–2 minutes</x:v>
      </x:c>
      <x:c r="B2" s="3" t="str">
        <x:v>Starting record</x:v>
      </x:c>
      <x:c r="C2" s="3" t="str">
        <x:v>At 25, what was the strongest evidence you were unusually good at anything? Who else would agree?</x:v>
      </x:c>
      <x:c r="D2" s="3" t="str">
        <x:v>Ask across school, sport, art, work and hobbies. Do not accept a modest job title as proof of no earlier distinction.</x:v>
      </x:c>
    </x:row>
    <x:row r="3" ht="115" customHeight="1">
      <x:c r="A3" s="3" t="str">
        <x:v>2–5 minutes</x:v>
      </x:c>
      <x:c r="B3" s="3" t="str">
        <x:v>First validated result</x:v>
      </x:c>
      <x:c r="C3" s="3" t="str">
        <x:v>What was the earliest independently judged result—not the famous one? What happened before it?</x:v>
      </x:c>
      <x:c r="D3" s="3" t="str">
        <x:v>Request dates, records, selection criteria and the subject’s actual contribution.</x:v>
      </x:c>
    </x:row>
    <x:row r="4" ht="115" customHeight="1">
      <x:c r="A4" s="3" t="str">
        <x:v>5–9 minutes</x:v>
      </x:c>
      <x:c r="B4" s="3" t="str">
        <x:v>Development process</x:v>
      </x:c>
      <x:c r="C4" s="3" t="str">
        <x:v>When did serious practice begin? What changed? What attempts failed or plateaued?</x:v>
      </x:c>
      <x:c r="D4" s="3" t="str">
        <x:v>Separate developing capability from entering competitions or being noticed.</x:v>
      </x:c>
    </x:row>
    <x:row r="5" ht="115" customHeight="1">
      <x:c r="A5" s="3" t="str">
        <x:v>9–12 minutes</x:v>
      </x:c>
      <x:c r="B5" s="3" t="str">
        <x:v>Starting conditions</x:v>
      </x:c>
      <x:c r="C5" s="3" t="str">
        <x:v>How did you fund the attempt? What skills, support, introductions and obligations mattered?</x:v>
      </x:c>
      <x:c r="D5" s="3" t="str">
        <x:v>Record resources and constraints without converting privilege into prior excellence.</x:v>
      </x:c>
    </x:row>
    <x:row r="6" ht="115" customHeight="1">
      <x:c r="A6" s="3" t="str">
        <x:v>12–15 minutes</x:v>
      </x:c>
      <x:c r="B6" s="3" t="str">
        <x:v>Challenge the story</x:v>
      </x:c>
      <x:c r="C6" s="3" t="str">
        <x:v>What earlier achievement could make this a transfer-of-excellence story instead? What might a schoolmate or colleague add?</x:v>
      </x:c>
      <x:c r="D6" s="3" t="str">
        <x:v>Actively seek disconfirming details and consent-based corroboration.</x:v>
      </x:c>
    </x:row>
    <x:row r="7" ht="115" customHeight="1">
      <x:c r="A7" s="3" t="str">
        <x:v>15–18 minutes</x:v>
      </x:c>
      <x:c r="B7" s="3" t="str">
        <x:v>Present</x:v>
      </x:c>
      <x:c r="C7" s="3" t="str">
        <x:v>What does the work look like now, and which parts of the original path are easy to misremember?</x:v>
      </x:c>
      <x:c r="D7" s="3" t="str">
        <x:v>Keep retrospective claims distinguishable from contemporary evidence.</x:v>
      </x:c>
    </x:row>
    <x:row r="8" ht="115" customHeight="1">
      <x:c r="A8" s="3" t="str">
        <x:v>18–20 minutes</x:v>
      </x:c>
      <x:c r="B8" s="3" t="str">
        <x:v>Future and closing</x:v>
      </x:c>
      <x:c r="C8" s="3" t="str">
        <x:v>What are you working toward next? What should readers understand about this trajectory?</x:v>
      </x:c>
      <x:c r="D8" s="3" t="str">
        <x:v>Confirm corrections, quotation consent and evidence follow-up. Do not solicit guarantees or universal formulas.</x:v>
      </x:c>
    </x:row>
  </x:sheetData>
  <x:pageMargins left="0.7" right="0.7" top="0.75" bottom="0.75" header="0.3" footer="0.3"/>
</x:worksheet>
</file>